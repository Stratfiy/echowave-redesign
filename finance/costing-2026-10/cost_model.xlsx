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dors" sheetId="1" state="visible" r:id="rId1"/>
    <sheet xmlns:r="http://schemas.openxmlformats.org/officeDocument/2006/relationships" name="Unit prices" sheetId="2" state="visible" r:id="rId2"/>
    <sheet xmlns:r="http://schemas.openxmlformats.org/officeDocument/2006/relationships" name="Measured usage" sheetId="3" state="visible" r:id="rId3"/>
    <sheet xmlns:r="http://schemas.openxmlformats.org/officeDocument/2006/relationships" name="Unit costs" sheetId="4" state="visible" r:id="rId4"/>
    <sheet xmlns:r="http://schemas.openxmlformats.org/officeDocument/2006/relationships" name="Fixed costs" sheetId="5" state="visible" r:id="rId5"/>
    <sheet xmlns:r="http://schemas.openxmlformats.org/officeDocument/2006/relationships" name="Plan margins" sheetId="6" state="visible" r:id="rId6"/>
    <sheet xmlns:r="http://schemas.openxmlformats.org/officeDocument/2006/relationships" name="Voice margins"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F3A5F"/>
      </patternFill>
    </fill>
    <fill>
      <patternFill patternType="solid">
        <fgColor rgb="00E2F0D9"/>
      </patternFill>
    </fill>
    <fill>
      <patternFill patternType="solid">
        <fgColor rgb="00EDEDED"/>
      </patternFill>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0" borderId="0" pivotButton="0" quotePrefix="0" xfId="0"/>
    <xf numFmtId="0" fontId="0" fillId="5" borderId="0" pivotButton="0" quotePrefix="0" xfId="0"/>
    <xf numFmtId="0" fontId="0" fillId="6" borderId="0" pivotButton="0" quotePrefix="0" xfId="0"/>
    <xf numFmtId="0" fontId="0" fillId="4" borderId="0" pivotButton="0" quotePrefix="0" xfId="0"/>
    <xf numFmtId="0" fontId="0" fillId="3" borderId="0" pivotButton="0" quotePrefix="0" xfId="0"/>
    <xf numFmtId="164" fontId="0"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46" customWidth="1" min="2" max="2"/>
    <col width="46" customWidth="1" min="3" max="3"/>
    <col width="22" customWidth="1" min="4" max="4"/>
    <col width="46" customWidth="1" min="5" max="5"/>
    <col width="26" customWidth="1" min="6" max="6"/>
  </cols>
  <sheetData>
    <row r="1">
      <c r="A1" s="1" t="inlineStr">
        <is>
          <t>Vendor</t>
        </is>
      </c>
      <c r="B1" s="1" t="inlineStr">
        <is>
          <t>Used for</t>
        </is>
      </c>
      <c r="C1" s="1" t="inlineStr">
        <is>
          <t>Where in code</t>
        </is>
      </c>
      <c r="D1" s="1" t="inlineStr">
        <is>
          <t>Billing unit</t>
        </is>
      </c>
      <c r="E1" s="1" t="inlineStr">
        <is>
          <t>Env var names</t>
        </is>
      </c>
      <c r="F1" s="1" t="inlineStr">
        <is>
          <t>Who pays</t>
        </is>
      </c>
    </row>
    <row r="2">
      <c r="A2" s="2" t="inlineStr">
        <is>
          <t>OpenAI</t>
        </is>
      </c>
      <c r="B2" s="2" t="inlineStr">
        <is>
          <t>Managed LLM tiers (gpt-4.1-mini default, gpt-4.1 accurate, gpt-5 advanced); call QA; embeddings; realtime gpt-realtime-2</t>
        </is>
      </c>
      <c r="C2" s="2" t="inlineStr">
        <is>
          <t>api/services/configuration/managed_tiers.py:251-253, 317-321, 360</t>
        </is>
      </c>
      <c r="D2" s="2" t="inlineStr">
        <is>
          <t>per token</t>
        </is>
      </c>
      <c r="E2" s="2" t="inlineStr">
        <is>
          <t>PLATFORM_KEY_LLM_OPENAI, PLATFORM_KEY_LLM_OPENAI_REALTIME</t>
        </is>
      </c>
      <c r="F2" s="2" t="inlineStr">
        <is>
          <t>Platform</t>
        </is>
      </c>
    </row>
    <row r="3">
      <c r="A3" s="2" t="inlineStr">
        <is>
          <t>Sarvam AI</t>
        </is>
      </c>
      <c r="B3" s="2" t="inlineStr">
        <is>
          <t>Managed LLM lite (sarvam-105b-conversations), STT default (saaras:v3), TTS default (bulbul:v3), translation, transcription</t>
        </is>
      </c>
      <c r="C3" s="2" t="inlineStr">
        <is>
          <t>managed_tiers.py:250,270,285; api/services/translation.py:28-94</t>
        </is>
      </c>
      <c r="D3" s="2" t="inlineStr">
        <is>
          <t>LLM per token; STT per hour; TTS per 1k chars</t>
        </is>
      </c>
      <c r="E3" s="2" t="inlineStr">
        <is>
          <t>PLATFORM_KEY_STT_SARVAM, PLATFORM_KEY_TTS_SARVAM, PLATFORM_KEY_LLM_SARVAM</t>
        </is>
      </c>
      <c r="F3" s="2" t="inlineStr">
        <is>
          <t>Platform</t>
        </is>
      </c>
    </row>
    <row r="4">
      <c r="A4" s="2" t="inlineStr">
        <is>
          <t>Google Gemini</t>
        </is>
      </c>
      <c r="B4" s="2" t="inlineStr">
        <is>
          <t>Realtime natural tier (gemini-3.1-flash-live-preview); builder; chat catalogue</t>
        </is>
      </c>
      <c r="C4" s="2" t="inlineStr">
        <is>
          <t>managed_tiers.py:327-331; api/services/pipecat/realtime/gemini_live.py:40</t>
        </is>
      </c>
      <c r="D4" s="2" t="inlineStr">
        <is>
          <t>per token (audio tokens)</t>
        </is>
      </c>
      <c r="E4" s="2" t="inlineStr">
        <is>
          <t>PLATFORM_KEY_LLM_GOOGLE</t>
        </is>
      </c>
      <c r="F4" s="2" t="inlineStr">
        <is>
          <t>Platform when installed</t>
        </is>
      </c>
    </row>
    <row r="5">
      <c r="A5" s="2" t="inlineStr">
        <is>
          <t>Anthropic</t>
        </is>
      </c>
      <c r="B5" s="2" t="inlineStr">
        <is>
          <t>Agent builder first preference (claude-sonnet-5); chat catalogue (Opus 5, Sonnet 5, Haiku 4.5)</t>
        </is>
      </c>
      <c r="C5" s="2" t="inlineStr">
        <is>
          <t>api/constants.py:704-722; api/services/agent_builder/client.py:553</t>
        </is>
      </c>
      <c r="D5" s="2" t="inlineStr">
        <is>
          <t>per token</t>
        </is>
      </c>
      <c r="E5" s="2" t="inlineStr">
        <is>
          <t>PLATFORM_KEY_LLM_ANTHROPIC</t>
        </is>
      </c>
      <c r="F5" s="2" t="inlineStr">
        <is>
          <t>Platform when builder on / model pinned</t>
        </is>
      </c>
    </row>
    <row r="6">
      <c r="A6" s="2" t="inlineStr">
        <is>
          <t>Deepgram</t>
        </is>
      </c>
      <c r="B6" s="2" t="inlineStr">
        <is>
          <t>Managed STT instant tier (Flux); transcription</t>
        </is>
      </c>
      <c r="C6" s="2" t="inlineStr">
        <is>
          <t>managed_tiers.py:278; api/services/gen_ai/transcription/providers.py:130</t>
        </is>
      </c>
      <c r="D6" s="2" t="inlineStr">
        <is>
          <t>per minute</t>
        </is>
      </c>
      <c r="E6" s="2" t="inlineStr">
        <is>
          <t>PLATFORM_KEY_STT_DEEPGRAM</t>
        </is>
      </c>
      <c r="F6" s="2" t="inlineStr">
        <is>
          <t>Platform if key installed</t>
        </is>
      </c>
    </row>
    <row r="7">
      <c r="A7" s="2" t="inlineStr">
        <is>
          <t>ElevenLabs</t>
        </is>
      </c>
      <c r="B7" s="2" t="inlineStr">
        <is>
          <t>Managed TTS global tier (eleven_flash_v2_5)</t>
        </is>
      </c>
      <c r="C7" s="2" t="inlineStr">
        <is>
          <t>managed_tiers.py:300</t>
        </is>
      </c>
      <c r="D7" s="2" t="inlineStr">
        <is>
          <t>per 1k chars</t>
        </is>
      </c>
      <c r="E7" s="2" t="inlineStr">
        <is>
          <t>PLATFORM_KEY_TTS_ELEVENLABS</t>
        </is>
      </c>
      <c r="F7" s="2" t="inlineStr">
        <is>
          <t>Platform</t>
        </is>
      </c>
    </row>
    <row r="8">
      <c r="A8" s="2" t="inlineStr">
        <is>
          <t>Smallest.ai</t>
        </is>
      </c>
      <c r="B8" s="2" t="inlineStr">
        <is>
          <t>Managed TTS natural tier (lightning_v3.1_pro)</t>
        </is>
      </c>
      <c r="C8" s="2" t="inlineStr">
        <is>
          <t>managed_tiers.py:297</t>
        </is>
      </c>
      <c r="D8" s="2" t="inlineStr">
        <is>
          <t>per 1k chars</t>
        </is>
      </c>
      <c r="E8" s="2" t="inlineStr">
        <is>
          <t>PLATFORM_KEY_TTS_SMALLEST</t>
        </is>
      </c>
      <c r="F8" s="2" t="inlineStr">
        <is>
          <t>Platform</t>
        </is>
      </c>
    </row>
    <row r="9">
      <c r="A9" s="2" t="inlineStr">
        <is>
          <t>Rumik AI</t>
        </is>
      </c>
      <c r="B9" s="2" t="inlineStr">
        <is>
          <t>Managed TTS basic tier (mulberry)</t>
        </is>
      </c>
      <c r="C9" s="2" t="inlineStr">
        <is>
          <t>managed_tiers.py:289</t>
        </is>
      </c>
      <c r="D9" s="2" t="inlineStr">
        <is>
          <t>per 1k chars</t>
        </is>
      </c>
      <c r="E9" s="2" t="inlineStr">
        <is>
          <t>PLATFORM_KEY_TTS_RUMIK</t>
        </is>
      </c>
      <c r="F9" s="2" t="inlineStr">
        <is>
          <t>Platform</t>
        </is>
      </c>
    </row>
    <row r="10">
      <c r="A10" s="2" t="inlineStr">
        <is>
          <t>Plivo</t>
        </is>
      </c>
      <c r="B10" s="2" t="inlineStr">
        <is>
          <t>Managed numbers, carriage, verification SMS</t>
        </is>
      </c>
      <c r="C10" s="2" t="inlineStr">
        <is>
          <t>api/constants.py:330-358; api/services/telephony/providers/plivo/provider.py:596</t>
        </is>
      </c>
      <c r="D10" s="2" t="inlineStr">
        <is>
          <t>per minute; per number-month; per SMS</t>
        </is>
      </c>
      <c r="E10" s="2" t="inlineStr">
        <is>
          <t>PLATFORM_PLIVO_AUTH_ID, PLATFORM_PLIVO_AUTH_TOKEN, NUMBER_RENTAL_COST_PAISE</t>
        </is>
      </c>
      <c r="F10" s="2" t="inlineStr">
        <is>
          <t>Platform</t>
        </is>
      </c>
    </row>
    <row r="11">
      <c r="A11" s="2" t="inlineStr">
        <is>
          <t>Twilio</t>
        </is>
      </c>
      <c r="B11" s="2" t="inlineStr">
        <is>
          <t>Verification SMS fallback; BYOK carrier; overseas reference carrier</t>
        </is>
      </c>
      <c r="C11" s="2" t="inlineStr">
        <is>
          <t>api/constants.py:1493; api/services/telephony/verification_sender.py:231</t>
        </is>
      </c>
      <c r="D11" s="2" t="inlineStr">
        <is>
          <t>per minute; per SMS</t>
        </is>
      </c>
      <c r="E11" s="2" t="inlineStr">
        <is>
          <t>PLATFORM_TWILIO_ACCOUNT_SID, PLATFORM_TWILIO_AUTH_TOKEN</t>
        </is>
      </c>
      <c r="F11" s="2" t="inlineStr">
        <is>
          <t>Platform if configured</t>
        </is>
      </c>
    </row>
    <row r="12">
      <c r="A12" s="2" t="inlineStr">
        <is>
          <t>Meta WhatsApp Cloud API</t>
        </is>
      </c>
      <c r="B12" s="2" t="inlineStr">
        <is>
          <t>Platform WhatsApp number send/receive</t>
        </is>
      </c>
      <c r="C12" s="2" t="inlineStr">
        <is>
          <t>api/services/messaging/platform_whatsapp.py:22-31; send.py:265</t>
        </is>
      </c>
      <c r="D12" s="2" t="inlineStr">
        <is>
          <t>per template message</t>
        </is>
      </c>
      <c r="E12" s="2" t="inlineStr">
        <is>
          <t>WHATSAPP_ACCESS_TOKEN, WHATSAPP_PHONE_NUMBER_ID</t>
        </is>
      </c>
      <c r="F12" s="2" t="inlineStr">
        <is>
          <t>Platform</t>
        </is>
      </c>
    </row>
    <row r="13">
      <c r="A13" s="2" t="inlineStr">
        <is>
          <t>Serper</t>
        </is>
      </c>
      <c r="B13" s="2" t="inlineStr">
        <is>
          <t>Agent web search</t>
        </is>
      </c>
      <c r="C13" s="2" t="inlineStr">
        <is>
          <t>api/services/workflow/web_tools.py:52-54,152</t>
        </is>
      </c>
      <c r="D13" s="2" t="inlineStr">
        <is>
          <t>per request</t>
        </is>
      </c>
      <c r="E13" s="2" t="inlineStr">
        <is>
          <t>SERPER_API_KEY</t>
        </is>
      </c>
      <c r="F13" s="2" t="inlineStr">
        <is>
          <t>Platform</t>
        </is>
      </c>
    </row>
    <row r="14">
      <c r="A14" s="2" t="inlineStr">
        <is>
          <t>Composio</t>
        </is>
      </c>
      <c r="B14" s="2" t="inlineStr">
        <is>
          <t>Connector layer for every non-Google integration</t>
        </is>
      </c>
      <c r="C14" s="2" t="inlineStr">
        <is>
          <t>api/constants.py:226-232; api/services/integrations/composio/client.py:116</t>
        </is>
      </c>
      <c r="D14" s="2" t="inlineStr">
        <is>
          <t>per tool call past free tier</t>
        </is>
      </c>
      <c r="E14" s="2" t="inlineStr">
        <is>
          <t>COMPOSIO_API_KEY</t>
        </is>
      </c>
      <c r="F14" s="2" t="inlineStr">
        <is>
          <t>Platform</t>
        </is>
      </c>
    </row>
    <row r="15">
      <c r="A15" s="2" t="inlineStr">
        <is>
          <t>Razorpay</t>
        </is>
      </c>
      <c r="B15" s="2" t="inlineStr">
        <is>
          <t>Payments, mandates, plans</t>
        </is>
      </c>
      <c r="C15" s="2" t="inlineStr">
        <is>
          <t>api/services/billing/payments.py:354</t>
        </is>
      </c>
      <c r="D15" s="2" t="inlineStr">
        <is>
          <t>% of transaction (MDR)</t>
        </is>
      </c>
      <c r="E15" s="2" t="inlineStr">
        <is>
          <t>RAZORPAY_KEY_ID, RAZORPAY_KEY_SECRET</t>
        </is>
      </c>
      <c r="F15" s="2" t="inlineStr">
        <is>
          <t>Platform</t>
        </is>
      </c>
    </row>
    <row r="16">
      <c r="A16" s="2" t="inlineStr">
        <is>
          <t>AWS EC2 / EBS</t>
        </is>
      </c>
      <c r="B16" s="2" t="inlineStr">
        <is>
          <t>Production host: one box running compose (api, ui, postgres, redis, minio, falkordb, gotenberg, sandbox, coturn, nginx)</t>
        </is>
      </c>
      <c r="C16" s="2" t="inlineStr">
        <is>
          <t>.github/workflows/deploy.yml:89; INFRASTRUCTURE.md</t>
        </is>
      </c>
      <c r="D16" s="2" t="inlineStr">
        <is>
          <t>per instance-hour; per GB-month</t>
        </is>
      </c>
      <c r="E16" s="2" t="inlineStr">
        <is>
          <t>EC2_INSTANCE_ID (secret), AWS_REGION</t>
        </is>
      </c>
      <c r="F16" s="2" t="inlineStr">
        <is>
          <t>Platform</t>
        </is>
      </c>
    </row>
    <row r="17">
      <c r="A17" s="2" t="inlineStr">
        <is>
          <t>AWS S3 / MinIO</t>
        </is>
      </c>
      <c r="B17" s="2" t="inlineStr">
        <is>
          <t>Recordings, KB files, KYC docs, backups (MinIO self-hosted is the default)</t>
        </is>
      </c>
      <c r="C17" s="2" t="inlineStr">
        <is>
          <t>api/services/storage.py:44-60</t>
        </is>
      </c>
      <c r="D17" s="2" t="inlineStr">
        <is>
          <t>per GB-month</t>
        </is>
      </c>
      <c r="E17" s="2" t="inlineStr">
        <is>
          <t>ENABLE_AWS_S3, S3_BUCKET, BACKUP_MIRROR_*</t>
        </is>
      </c>
      <c r="F17" s="2" t="inlineStr">
        <is>
          <t>Platform if S3</t>
        </is>
      </c>
    </row>
    <row r="18">
      <c r="A18" s="2" t="inlineStr">
        <is>
          <t>PostHog</t>
        </is>
      </c>
      <c r="B18" s="2" t="inlineStr">
        <is>
          <t>Product analytics</t>
        </is>
      </c>
      <c r="C18" s="2" t="inlineStr">
        <is>
          <t>api/services/posthog_client.py</t>
        </is>
      </c>
      <c r="D18" s="2" t="inlineStr">
        <is>
          <t>per event (free tier)</t>
        </is>
      </c>
      <c r="E18" s="2" t="inlineStr">
        <is>
          <t>POSTHOG_API_KEY</t>
        </is>
      </c>
      <c r="F18" s="2" t="inlineStr">
        <is>
          <t>Vendor free tier likely</t>
        </is>
      </c>
    </row>
    <row r="19">
      <c r="A19" s="2" t="inlineStr">
        <is>
          <t>Sentry</t>
        </is>
      </c>
      <c r="B19" s="2" t="inlineStr">
        <is>
          <t>Error monitoring</t>
        </is>
      </c>
      <c r="C19" s="2" t="inlineStr">
        <is>
          <t>api/app.py:21; ui/src/instrumentation-client.ts</t>
        </is>
      </c>
      <c r="D19" s="2" t="inlineStr">
        <is>
          <t>per event / plan</t>
        </is>
      </c>
      <c r="E19" s="2" t="inlineStr">
        <is>
          <t>SENTRY_DSN</t>
        </is>
      </c>
      <c r="F19" s="2" t="inlineStr">
        <is>
          <t>Vendor if DSN set</t>
        </is>
      </c>
    </row>
    <row r="20">
      <c r="A20" s="2" t="inlineStr">
        <is>
          <t>Langfuse</t>
        </is>
      </c>
      <c r="B20" s="2" t="inlineStr">
        <is>
          <t>Tracing (langfuse.decibyl.ai, self-hosted)</t>
        </is>
      </c>
      <c r="C20" s="2" t="inlineStr">
        <is>
          <t>api/services/pipecat/tracing_config.py:155</t>
        </is>
      </c>
      <c r="D20" s="2" t="inlineStr">
        <is>
          <t>self-host or per trace</t>
        </is>
      </c>
      <c r="E20" s="2" t="inlineStr">
        <is>
          <t>LANGFUSE_HOST, LANGFUSE_PUBLIC_KEY, LANGFUSE_SECRET_KEY</t>
        </is>
      </c>
      <c r="F20" s="2" t="inlineStr">
        <is>
          <t>Unknown: self-hosted or cloud</t>
        </is>
      </c>
    </row>
    <row r="21">
      <c r="A21" s="2" t="inlineStr">
        <is>
          <t>SMTP relay (vendor unnamed)</t>
        </is>
      </c>
      <c r="B21" s="2" t="inlineStr">
        <is>
          <t>Transactional email</t>
        </is>
      </c>
      <c r="C21" s="2" t="inlineStr">
        <is>
          <t>api/services/messaging/email.py:18</t>
        </is>
      </c>
      <c r="D21" s="2" t="inlineStr">
        <is>
          <t>per email</t>
        </is>
      </c>
      <c r="E21" s="2" t="inlineStr">
        <is>
          <t>SMTP_HOST, SMTP_USERNAME, SMTP_PASSWORD</t>
        </is>
      </c>
      <c r="F21" s="2" t="inlineStr">
        <is>
          <t>Platform</t>
        </is>
      </c>
    </row>
    <row r="22">
      <c r="A22" s="2" t="inlineStr">
        <is>
          <t>Self-hosted (no vendor bill)</t>
        </is>
      </c>
      <c r="B22" s="2" t="inlineStr">
        <is>
          <t>Postgres+pgvector, Redis/ARQ, FalkorDB, Gotenberg, Tesseract/Docling, sandbox, coturn, nginx, cloudflared</t>
        </is>
      </c>
      <c r="C22" s="2" t="inlineStr">
        <is>
          <t>docker-compose.yaml</t>
        </is>
      </c>
      <c r="D22" s="2" t="inlineStr">
        <is>
          <t>infra only</t>
        </is>
      </c>
      <c r="E22" s="2" t="inlineStr"/>
      <c r="F22" s="2" t="inlineStr">
        <is>
          <t>Infra</t>
        </is>
      </c>
    </row>
    <row r="23">
      <c r="A23" s="2" t="inlineStr">
        <is>
          <t>BYOK only (no platform bill)</t>
        </is>
      </c>
      <c r="B23" s="2" t="inlineStr">
        <is>
          <t>OpenRouter, Groq, Cerebras, DeepSeek, Mistral, Fireworks, Azure, Bedrock, Cartesia, Speechmatics, Gladia, AssemblyAI, Vonage, Telnyx, Cloudonix, Vobiz, Exotel/Smartflo import</t>
        </is>
      </c>
      <c r="C23" s="2" t="inlineStr">
        <is>
          <t>api/services/pipecat/service_factory.py</t>
        </is>
      </c>
      <c r="D23" s="2" t="inlineStr">
        <is>
          <t>customer's account</t>
        </is>
      </c>
      <c r="E23" s="2" t="inlineStr"/>
      <c r="F23" s="2" t="inlineStr">
        <is>
          <t>Customer</t>
        </is>
      </c>
    </row>
    <row r="25">
      <c r="A25" t="inlineStr">
        <is>
          <t>Full inventory with file:line for every hit: step1_inventory.md in this folder.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26" customWidth="1" min="1" max="1"/>
    <col width="16" customWidth="1" min="2" max="2"/>
    <col width="40" customWidth="1" min="3" max="3"/>
    <col width="22" customWidth="1" min="4" max="4"/>
    <col width="12" customWidth="1" min="5" max="5"/>
    <col width="9" customWidth="1" min="6" max="6"/>
    <col width="14" customWidth="1" min="7" max="7"/>
    <col width="60" customWidth="1" min="8" max="8"/>
    <col width="12" customWidth="1" min="9" max="9"/>
    <col width="60" customWidth="1" min="10" max="10"/>
  </cols>
  <sheetData>
    <row r="1">
      <c r="A1" s="1" t="inlineStr">
        <is>
          <t>Key</t>
        </is>
      </c>
      <c r="B1" s="1" t="inlineStr">
        <is>
          <t>Vendor</t>
        </is>
      </c>
      <c r="C1" s="1" t="inlineStr">
        <is>
          <t>Item</t>
        </is>
      </c>
      <c r="D1" s="1" t="inlineStr">
        <is>
          <t>Unit</t>
        </is>
      </c>
      <c r="E1" s="1" t="inlineStr">
        <is>
          <t>Value</t>
        </is>
      </c>
      <c r="F1" s="1" t="inlineStr">
        <is>
          <t>Currency</t>
        </is>
      </c>
      <c r="G1" s="1" t="inlineStr">
        <is>
          <t>Label</t>
        </is>
      </c>
      <c r="H1" s="1" t="inlineStr">
        <is>
          <t>Source URL</t>
        </is>
      </c>
      <c r="I1" s="1" t="inlineStr">
        <is>
          <t>Date checked</t>
        </is>
      </c>
      <c r="J1" s="1" t="inlineStr">
        <is>
          <t>Note</t>
        </is>
      </c>
    </row>
    <row r="2">
      <c r="A2" s="2" t="inlineStr">
        <is>
          <t>fx</t>
        </is>
      </c>
      <c r="B2" s="2" t="inlineStr">
        <is>
          <t>RBI / FBIL</t>
        </is>
      </c>
      <c r="C2" s="2" t="inlineStr">
        <is>
          <t>USD to INR reference rate, 28 Sep 2026 (latest published before 29 Sep)</t>
        </is>
      </c>
      <c r="D2" s="2" t="inlineStr">
        <is>
          <t>INR per USD</t>
        </is>
      </c>
      <c r="E2" s="2" t="n">
        <v>95.968</v>
      </c>
      <c r="F2" s="2" t="inlineStr">
        <is>
          <t>INR</t>
        </is>
      </c>
      <c r="G2" s="3" t="inlineStr">
        <is>
          <t>vendor price</t>
        </is>
      </c>
      <c r="H2" s="2" t="inlineStr">
        <is>
          <t>https://www.fbil.org.in/ (value read from CEIC, which republishes the FBIL/RBI series; the FBIL page itself could not be fetched)</t>
        </is>
      </c>
      <c r="I2" s="2" t="inlineStr">
        <is>
          <t>2026-09-28</t>
        </is>
      </c>
      <c r="J2" s="2" t="inlineStr">
        <is>
          <t>UNVERIFIED on the official page: fbil.org.in timed out and the RBI archive needs a form post. Confirm at fbil.org.in before quoting. The billing code falls back to 96.00 (api/services/billing/money.py:49) and stores its own rate history from Frankfurter.</t>
        </is>
      </c>
    </row>
    <row r="3">
      <c r="A3" s="2" t="inlineStr">
        <is>
          <t>gst</t>
        </is>
      </c>
      <c r="B3" s="2" t="inlineStr">
        <is>
          <t>GoI</t>
        </is>
      </c>
      <c r="C3" s="2" t="inlineStr">
        <is>
          <t>GST on foreign vendor bills under reverse charge (creditable ITC; cash-flow only)</t>
        </is>
      </c>
      <c r="D3" s="2" t="inlineStr">
        <is>
          <t>share</t>
        </is>
      </c>
      <c r="E3" s="2" t="n">
        <v>0.18</v>
      </c>
      <c r="F3" s="2" t="inlineStr"/>
      <c r="G3" s="3" t="inlineStr">
        <is>
          <t>vendor price</t>
        </is>
      </c>
      <c r="H3" s="2" t="inlineStr">
        <is>
          <t>https://cbic-gst.gov.in/</t>
        </is>
      </c>
      <c r="I3" s="2" t="inlineStr">
        <is>
          <t>2026-09-29</t>
        </is>
      </c>
      <c r="J3" s="2" t="inlineStr">
        <is>
          <t>Not added to unit costs: input tax credit is claimed. It is a cash-flow timing item on every foreign invoice.</t>
        </is>
      </c>
    </row>
    <row r="4">
      <c r="A4" s="2" t="inlineStr">
        <is>
          <t>gpt41mini_in</t>
        </is>
      </c>
      <c r="B4" s="2" t="inlineStr">
        <is>
          <t>OpenAI</t>
        </is>
      </c>
      <c r="C4" s="2" t="inlineStr">
        <is>
          <t>gpt-4.1-mini input (managed default tier)</t>
        </is>
      </c>
      <c r="D4" s="2" t="inlineStr">
        <is>
          <t>USD per 1M tokens</t>
        </is>
      </c>
      <c r="E4" s="2" t="n">
        <v>0.4</v>
      </c>
      <c r="F4" s="2" t="inlineStr">
        <is>
          <t>USD</t>
        </is>
      </c>
      <c r="G4" s="4" t="inlineStr">
        <is>
          <t>code constant</t>
        </is>
      </c>
      <c r="H4" s="2" t="inlineStr">
        <is>
          <t>https://developers.openai.com/api/docs/pricing</t>
        </is>
      </c>
      <c r="I4" s="2" t="inlineStr">
        <is>
          <t>2026-09-14</t>
        </is>
      </c>
      <c r="J4" s="2" t="inlineStr">
        <is>
          <t>From the code rate book (default_rates.py, checked 14 Sep 2026). The 29 Sep survey found the page now leads with the gpt-5 family; gpt-4.1-mini was not re-read. Re-verify.</t>
        </is>
      </c>
    </row>
    <row r="5">
      <c r="A5" s="2" t="inlineStr">
        <is>
          <t>gpt41mini_cached</t>
        </is>
      </c>
      <c r="B5" s="2" t="inlineStr">
        <is>
          <t>OpenAI</t>
        </is>
      </c>
      <c r="C5" s="2" t="inlineStr">
        <is>
          <t>gpt-4.1-mini cached input</t>
        </is>
      </c>
      <c r="D5" s="2" t="inlineStr">
        <is>
          <t>USD per 1M tokens</t>
        </is>
      </c>
      <c r="E5" s="2" t="n">
        <v>0.1</v>
      </c>
      <c r="F5" s="2" t="inlineStr">
        <is>
          <t>USD</t>
        </is>
      </c>
      <c r="G5" s="4" t="inlineStr">
        <is>
          <t>code constant</t>
        </is>
      </c>
      <c r="H5" s="2" t="inlineStr">
        <is>
          <t>https://developers.openai.com/api/docs/pricing</t>
        </is>
      </c>
      <c r="I5" s="2" t="inlineStr">
        <is>
          <t>2026-09-14</t>
        </is>
      </c>
      <c r="J5" s="2" t="inlineStr">
        <is>
          <t>Code rate book split rows (cached share 0.25 of input for gpt-4.1 family per OpenAI).</t>
        </is>
      </c>
    </row>
    <row r="6">
      <c r="A6" s="2" t="inlineStr">
        <is>
          <t>gpt41mini_out</t>
        </is>
      </c>
      <c r="B6" s="2" t="inlineStr">
        <is>
          <t>OpenAI</t>
        </is>
      </c>
      <c r="C6" s="2" t="inlineStr">
        <is>
          <t>gpt-4.1-mini output</t>
        </is>
      </c>
      <c r="D6" s="2" t="inlineStr">
        <is>
          <t>USD per 1M tokens</t>
        </is>
      </c>
      <c r="E6" s="2" t="n">
        <v>1.6</v>
      </c>
      <c r="F6" s="2" t="inlineStr">
        <is>
          <t>USD</t>
        </is>
      </c>
      <c r="G6" s="4" t="inlineStr">
        <is>
          <t>code constant</t>
        </is>
      </c>
      <c r="H6" s="2" t="inlineStr">
        <is>
          <t>https://developers.openai.com/api/docs/pricing</t>
        </is>
      </c>
      <c r="I6" s="2" t="inlineStr">
        <is>
          <t>2026-09-14</t>
        </is>
      </c>
      <c r="J6" s="2" t="inlineStr"/>
    </row>
    <row r="7">
      <c r="A7" s="2" t="inlineStr">
        <is>
          <t>gpt41_in</t>
        </is>
      </c>
      <c r="B7" s="2" t="inlineStr">
        <is>
          <t>OpenAI</t>
        </is>
      </c>
      <c r="C7" s="2" t="inlineStr">
        <is>
          <t>gpt-4.1 input (managed accurate tier)</t>
        </is>
      </c>
      <c r="D7" s="2" t="inlineStr">
        <is>
          <t>USD per 1M tokens</t>
        </is>
      </c>
      <c r="E7" s="2" t="n">
        <v>2</v>
      </c>
      <c r="F7" s="2" t="inlineStr">
        <is>
          <t>USD</t>
        </is>
      </c>
      <c r="G7" s="4" t="inlineStr">
        <is>
          <t>code constant</t>
        </is>
      </c>
      <c r="H7" s="2" t="inlineStr">
        <is>
          <t>https://developers.openai.com/api/docs/pricing</t>
        </is>
      </c>
      <c r="I7" s="2" t="inlineStr">
        <is>
          <t>2026-09-14</t>
        </is>
      </c>
      <c r="J7" s="2" t="inlineStr">
        <is>
          <t>Code rate book; not re-read on 29 Sep.</t>
        </is>
      </c>
    </row>
    <row r="8">
      <c r="A8" s="2" t="inlineStr">
        <is>
          <t>gpt41_cached</t>
        </is>
      </c>
      <c r="B8" s="2" t="inlineStr">
        <is>
          <t>OpenAI</t>
        </is>
      </c>
      <c r="C8" s="2" t="inlineStr">
        <is>
          <t>gpt-4.1 cached input</t>
        </is>
      </c>
      <c r="D8" s="2" t="inlineStr">
        <is>
          <t>USD per 1M tokens</t>
        </is>
      </c>
      <c r="E8" s="2" t="n">
        <v>0.5</v>
      </c>
      <c r="F8" s="2" t="inlineStr">
        <is>
          <t>USD</t>
        </is>
      </c>
      <c r="G8" s="4" t="inlineStr">
        <is>
          <t>code constant</t>
        </is>
      </c>
      <c r="H8" s="2" t="inlineStr">
        <is>
          <t>https://developers.openai.com/api/docs/pricing</t>
        </is>
      </c>
      <c r="I8" s="2" t="inlineStr">
        <is>
          <t>2026-09-14</t>
        </is>
      </c>
      <c r="J8" s="2" t="inlineStr"/>
    </row>
    <row r="9">
      <c r="A9" s="2" t="inlineStr">
        <is>
          <t>gpt41_out</t>
        </is>
      </c>
      <c r="B9" s="2" t="inlineStr">
        <is>
          <t>OpenAI</t>
        </is>
      </c>
      <c r="C9" s="2" t="inlineStr">
        <is>
          <t>gpt-4.1 output</t>
        </is>
      </c>
      <c r="D9" s="2" t="inlineStr">
        <is>
          <t>USD per 1M tokens</t>
        </is>
      </c>
      <c r="E9" s="2" t="n">
        <v>8</v>
      </c>
      <c r="F9" s="2" t="inlineStr">
        <is>
          <t>USD</t>
        </is>
      </c>
      <c r="G9" s="4" t="inlineStr">
        <is>
          <t>code constant</t>
        </is>
      </c>
      <c r="H9" s="2" t="inlineStr">
        <is>
          <t>https://developers.openai.com/api/docs/pricing</t>
        </is>
      </c>
      <c r="I9" s="2" t="inlineStr">
        <is>
          <t>2026-09-14</t>
        </is>
      </c>
      <c r="J9" s="2" t="inlineStr"/>
    </row>
    <row r="10">
      <c r="A10" s="2" t="inlineStr">
        <is>
          <t>gpt5_in</t>
        </is>
      </c>
      <c r="B10" s="2" t="inlineStr">
        <is>
          <t>OpenAI</t>
        </is>
      </c>
      <c r="C10" s="2" t="inlineStr">
        <is>
          <t>gpt-5 input</t>
        </is>
      </c>
      <c r="D10" s="2" t="inlineStr">
        <is>
          <t>USD per 1M tokens</t>
        </is>
      </c>
      <c r="E10" s="2" t="n">
        <v>1.25</v>
      </c>
      <c r="F10" s="2" t="inlineStr">
        <is>
          <t>USD</t>
        </is>
      </c>
      <c r="G10" s="3" t="inlineStr">
        <is>
          <t>vendor price</t>
        </is>
      </c>
      <c r="H10" s="2" t="inlineStr">
        <is>
          <t>https://developers.openai.com/api/docs/pricing</t>
        </is>
      </c>
      <c r="I10" s="2" t="inlineStr">
        <is>
          <t>2026-09-29</t>
        </is>
      </c>
      <c r="J10" s="2" t="inlineStr"/>
    </row>
    <row r="11">
      <c r="A11" s="2" t="inlineStr">
        <is>
          <t>gpt5_cached</t>
        </is>
      </c>
      <c r="B11" s="2" t="inlineStr">
        <is>
          <t>OpenAI</t>
        </is>
      </c>
      <c r="C11" s="2" t="inlineStr">
        <is>
          <t>gpt-5 cached input</t>
        </is>
      </c>
      <c r="D11" s="2" t="inlineStr">
        <is>
          <t>USD per 1M tokens</t>
        </is>
      </c>
      <c r="E11" s="2" t="n">
        <v>0.125</v>
      </c>
      <c r="F11" s="2" t="inlineStr">
        <is>
          <t>USD</t>
        </is>
      </c>
      <c r="G11" s="3" t="inlineStr">
        <is>
          <t>vendor price</t>
        </is>
      </c>
      <c r="H11" s="2" t="inlineStr">
        <is>
          <t>https://developers.openai.com/api/docs/pricing</t>
        </is>
      </c>
      <c r="I11" s="2" t="inlineStr">
        <is>
          <t>2026-09-29</t>
        </is>
      </c>
      <c r="J11" s="2" t="inlineStr"/>
    </row>
    <row r="12">
      <c r="A12" s="2" t="inlineStr">
        <is>
          <t>gpt5_out</t>
        </is>
      </c>
      <c r="B12" s="2" t="inlineStr">
        <is>
          <t>OpenAI</t>
        </is>
      </c>
      <c r="C12" s="2" t="inlineStr">
        <is>
          <t>gpt-5 output</t>
        </is>
      </c>
      <c r="D12" s="2" t="inlineStr">
        <is>
          <t>USD per 1M tokens</t>
        </is>
      </c>
      <c r="E12" s="2" t="n">
        <v>10</v>
      </c>
      <c r="F12" s="2" t="inlineStr">
        <is>
          <t>USD</t>
        </is>
      </c>
      <c r="G12" s="3" t="inlineStr">
        <is>
          <t>vendor price</t>
        </is>
      </c>
      <c r="H12" s="2" t="inlineStr">
        <is>
          <t>https://developers.openai.com/api/docs/pricing</t>
        </is>
      </c>
      <c r="I12" s="2" t="inlineStr">
        <is>
          <t>2026-09-29</t>
        </is>
      </c>
      <c r="J12" s="2" t="inlineStr"/>
    </row>
    <row r="13">
      <c r="A13" s="2" t="inlineStr">
        <is>
          <t>gpt5nano_in</t>
        </is>
      </c>
      <c r="B13" s="2" t="inlineStr">
        <is>
          <t>OpenAI</t>
        </is>
      </c>
      <c r="C13" s="2" t="inlineStr">
        <is>
          <t>gpt-5-nano input</t>
        </is>
      </c>
      <c r="D13" s="2" t="inlineStr">
        <is>
          <t>USD per 1M tokens</t>
        </is>
      </c>
      <c r="E13" s="2" t="n">
        <v>0.05</v>
      </c>
      <c r="F13" s="2" t="inlineStr">
        <is>
          <t>USD</t>
        </is>
      </c>
      <c r="G13" s="3" t="inlineStr">
        <is>
          <t>vendor price</t>
        </is>
      </c>
      <c r="H13" s="2" t="inlineStr">
        <is>
          <t>https://developers.openai.com/api/docs/pricing</t>
        </is>
      </c>
      <c r="I13" s="2" t="inlineStr">
        <is>
          <t>2026-09-29</t>
        </is>
      </c>
      <c r="J13" s="2" t="inlineStr"/>
    </row>
    <row r="14">
      <c r="A14" s="2" t="inlineStr">
        <is>
          <t>gpt5nano_cached</t>
        </is>
      </c>
      <c r="B14" s="2" t="inlineStr">
        <is>
          <t>OpenAI</t>
        </is>
      </c>
      <c r="C14" s="2" t="inlineStr">
        <is>
          <t>gpt-5-nano cached input</t>
        </is>
      </c>
      <c r="D14" s="2" t="inlineStr">
        <is>
          <t>USD per 1M tokens</t>
        </is>
      </c>
      <c r="E14" s="2" t="n">
        <v>0.005</v>
      </c>
      <c r="F14" s="2" t="inlineStr">
        <is>
          <t>USD</t>
        </is>
      </c>
      <c r="G14" s="3" t="inlineStr">
        <is>
          <t>vendor price</t>
        </is>
      </c>
      <c r="H14" s="2" t="inlineStr">
        <is>
          <t>https://developers.openai.com/api/docs/pricing</t>
        </is>
      </c>
      <c r="I14" s="2" t="inlineStr">
        <is>
          <t>2026-09-29</t>
        </is>
      </c>
      <c r="J14" s="2" t="inlineStr"/>
    </row>
    <row r="15">
      <c r="A15" s="2" t="inlineStr">
        <is>
          <t>gpt5nano_out</t>
        </is>
      </c>
      <c r="B15" s="2" t="inlineStr">
        <is>
          <t>OpenAI</t>
        </is>
      </c>
      <c r="C15" s="2" t="inlineStr">
        <is>
          <t>gpt-5-nano output</t>
        </is>
      </c>
      <c r="D15" s="2" t="inlineStr">
        <is>
          <t>USD per 1M tokens</t>
        </is>
      </c>
      <c r="E15" s="2" t="n">
        <v>0.4</v>
      </c>
      <c r="F15" s="2" t="inlineStr">
        <is>
          <t>USD</t>
        </is>
      </c>
      <c r="G15" s="3" t="inlineStr">
        <is>
          <t>vendor price</t>
        </is>
      </c>
      <c r="H15" s="2" t="inlineStr">
        <is>
          <t>https://developers.openai.com/api/docs/pricing</t>
        </is>
      </c>
      <c r="I15" s="2" t="inlineStr">
        <is>
          <t>2026-09-29</t>
        </is>
      </c>
      <c r="J15" s="2" t="inlineStr"/>
    </row>
    <row r="16">
      <c r="A16" s="2" t="inlineStr">
        <is>
          <t>sonnet5_in</t>
        </is>
      </c>
      <c r="B16" s="2" t="inlineStr">
        <is>
          <t>Anthropic</t>
        </is>
      </c>
      <c r="C16" s="2" t="inlineStr">
        <is>
          <t>claude-sonnet-5 input (agent builder default)</t>
        </is>
      </c>
      <c r="D16" s="2" t="inlineStr">
        <is>
          <t>USD per 1M tokens</t>
        </is>
      </c>
      <c r="E16" s="2" t="n">
        <v>2</v>
      </c>
      <c r="F16" s="2" t="inlineStr">
        <is>
          <t>USD</t>
        </is>
      </c>
      <c r="G16" s="3" t="inlineStr">
        <is>
          <t>vendor price</t>
        </is>
      </c>
      <c r="H16" s="2" t="inlineStr">
        <is>
          <t>https://platform.claude.com/docs/en/about-claude/pricing</t>
        </is>
      </c>
      <c r="I16" s="2" t="inlineStr">
        <is>
          <t>2026-09-29</t>
        </is>
      </c>
      <c r="J16" s="2" t="inlineStr">
        <is>
          <t>Page notes the planned rise to $3/$15 was cancelled; $2/$10 stands.</t>
        </is>
      </c>
    </row>
    <row r="17">
      <c r="A17" s="2" t="inlineStr">
        <is>
          <t>sonnet5_cached</t>
        </is>
      </c>
      <c r="B17" s="2" t="inlineStr">
        <is>
          <t>Anthropic</t>
        </is>
      </c>
      <c r="C17" s="2" t="inlineStr">
        <is>
          <t>claude-sonnet-5 cached read</t>
        </is>
      </c>
      <c r="D17" s="2" t="inlineStr">
        <is>
          <t>USD per 1M tokens</t>
        </is>
      </c>
      <c r="E17" s="2" t="n">
        <v>0.2</v>
      </c>
      <c r="F17" s="2" t="inlineStr">
        <is>
          <t>USD</t>
        </is>
      </c>
      <c r="G17" s="3" t="inlineStr">
        <is>
          <t>vendor price</t>
        </is>
      </c>
      <c r="H17" s="2" t="inlineStr">
        <is>
          <t>https://platform.claude.com/docs/en/about-claude/pricing</t>
        </is>
      </c>
      <c r="I17" s="2" t="inlineStr">
        <is>
          <t>2026-09-29</t>
        </is>
      </c>
      <c r="J17" s="2" t="inlineStr">
        <is>
          <t>Cache write is 1.25x input (5 min) and is not modelled: it applies once per conversation.</t>
        </is>
      </c>
    </row>
    <row r="18">
      <c r="A18" s="2" t="inlineStr">
        <is>
          <t>sonnet5_out</t>
        </is>
      </c>
      <c r="B18" s="2" t="inlineStr">
        <is>
          <t>Anthropic</t>
        </is>
      </c>
      <c r="C18" s="2" t="inlineStr">
        <is>
          <t>claude-sonnet-5 output</t>
        </is>
      </c>
      <c r="D18" s="2" t="inlineStr">
        <is>
          <t>USD per 1M tokens</t>
        </is>
      </c>
      <c r="E18" s="2" t="n">
        <v>10</v>
      </c>
      <c r="F18" s="2" t="inlineStr">
        <is>
          <t>USD</t>
        </is>
      </c>
      <c r="G18" s="3" t="inlineStr">
        <is>
          <t>vendor price</t>
        </is>
      </c>
      <c r="H18" s="2" t="inlineStr">
        <is>
          <t>https://platform.claude.com/docs/en/about-claude/pricing</t>
        </is>
      </c>
      <c r="I18" s="2" t="inlineStr">
        <is>
          <t>2026-09-29</t>
        </is>
      </c>
      <c r="J18" s="2" t="inlineStr"/>
    </row>
    <row r="19">
      <c r="A19" s="2" t="inlineStr">
        <is>
          <t>opus5_in</t>
        </is>
      </c>
      <c r="B19" s="2" t="inlineStr">
        <is>
          <t>Anthropic</t>
        </is>
      </c>
      <c r="C19" s="2" t="inlineStr">
        <is>
          <t>claude-opus-5 input (dearest model in the chat catalogue)</t>
        </is>
      </c>
      <c r="D19" s="2" t="inlineStr">
        <is>
          <t>USD per 1M tokens</t>
        </is>
      </c>
      <c r="E19" s="2" t="n">
        <v>5</v>
      </c>
      <c r="F19" s="2" t="inlineStr">
        <is>
          <t>USD</t>
        </is>
      </c>
      <c r="G19" s="4" t="inlineStr">
        <is>
          <t>code constant</t>
        </is>
      </c>
      <c r="H19" s="2" t="inlineStr">
        <is>
          <t>https://platform.claude.com/docs/en/about-claude/pricing</t>
        </is>
      </c>
      <c r="I19" s="2" t="inlineStr">
        <is>
          <t>2026-09-14</t>
        </is>
      </c>
      <c r="J19" s="2" t="inlineStr">
        <is>
          <t>Code rate book. The official page on 29 Sep lists Opus 5.5 at $4/$20 and no longer lists Opus 5; the higher code figure is kept as the worst case.</t>
        </is>
      </c>
    </row>
    <row r="20">
      <c r="A20" s="2" t="inlineStr">
        <is>
          <t>opus5_cached</t>
        </is>
      </c>
      <c r="B20" s="2" t="inlineStr">
        <is>
          <t>Anthropic</t>
        </is>
      </c>
      <c r="C20" s="2" t="inlineStr">
        <is>
          <t>claude-opus-5 cached read</t>
        </is>
      </c>
      <c r="D20" s="2" t="inlineStr">
        <is>
          <t>USD per 1M tokens</t>
        </is>
      </c>
      <c r="E20" s="2" t="n">
        <v>0.5</v>
      </c>
      <c r="F20" s="2" t="inlineStr">
        <is>
          <t>USD</t>
        </is>
      </c>
      <c r="G20" s="4" t="inlineStr">
        <is>
          <t>code constant</t>
        </is>
      </c>
      <c r="H20" s="2" t="inlineStr">
        <is>
          <t>https://platform.claude.com/docs/en/about-claude/pricing</t>
        </is>
      </c>
      <c r="I20" s="2" t="inlineStr">
        <is>
          <t>2026-09-14</t>
        </is>
      </c>
      <c r="J20" s="2" t="inlineStr"/>
    </row>
    <row r="21">
      <c r="A21" s="2" t="inlineStr">
        <is>
          <t>opus5_out</t>
        </is>
      </c>
      <c r="B21" s="2" t="inlineStr">
        <is>
          <t>Anthropic</t>
        </is>
      </c>
      <c r="C21" s="2" t="inlineStr">
        <is>
          <t>claude-opus-5 output</t>
        </is>
      </c>
      <c r="D21" s="2" t="inlineStr">
        <is>
          <t>USD per 1M tokens</t>
        </is>
      </c>
      <c r="E21" s="2" t="n">
        <v>25</v>
      </c>
      <c r="F21" s="2" t="inlineStr">
        <is>
          <t>USD</t>
        </is>
      </c>
      <c r="G21" s="4" t="inlineStr">
        <is>
          <t>code constant</t>
        </is>
      </c>
      <c r="H21" s="2" t="inlineStr">
        <is>
          <t>https://platform.claude.com/docs/en/about-claude/pricing</t>
        </is>
      </c>
      <c r="I21" s="2" t="inlineStr">
        <is>
          <t>2026-09-14</t>
        </is>
      </c>
      <c r="J21" s="2" t="inlineStr"/>
    </row>
    <row r="22">
      <c r="A22" s="2" t="inlineStr">
        <is>
          <t>gemini25flash_in</t>
        </is>
      </c>
      <c r="B22" s="2" t="inlineStr">
        <is>
          <t>Google</t>
        </is>
      </c>
      <c r="C22" s="2" t="inlineStr">
        <is>
          <t>gemini-2.5-flash input</t>
        </is>
      </c>
      <c r="D22" s="2" t="inlineStr">
        <is>
          <t>USD per 1M tokens</t>
        </is>
      </c>
      <c r="E22" s="2" t="n">
        <v>0.3</v>
      </c>
      <c r="F22" s="2" t="inlineStr">
        <is>
          <t>USD</t>
        </is>
      </c>
      <c r="G22" s="3" t="inlineStr">
        <is>
          <t>vendor price</t>
        </is>
      </c>
      <c r="H22" s="2" t="inlineStr">
        <is>
          <t>https://ai.google.dev/gemini-api/docs/pricing</t>
        </is>
      </c>
      <c r="I22" s="2" t="inlineStr">
        <is>
          <t>2026-09-29</t>
        </is>
      </c>
      <c r="J22" s="2" t="inlineStr"/>
    </row>
    <row r="23">
      <c r="A23" s="2" t="inlineStr">
        <is>
          <t>gemini25flash_cached</t>
        </is>
      </c>
      <c r="B23" s="2" t="inlineStr">
        <is>
          <t>Google</t>
        </is>
      </c>
      <c r="C23" s="2" t="inlineStr">
        <is>
          <t>gemini-2.5-flash cached input</t>
        </is>
      </c>
      <c r="D23" s="2" t="inlineStr">
        <is>
          <t>USD per 1M tokens</t>
        </is>
      </c>
      <c r="E23" s="2" t="n">
        <v>0.03</v>
      </c>
      <c r="F23" s="2" t="inlineStr">
        <is>
          <t>USD</t>
        </is>
      </c>
      <c r="G23" s="3" t="inlineStr">
        <is>
          <t>vendor price</t>
        </is>
      </c>
      <c r="H23" s="2" t="inlineStr">
        <is>
          <t>https://ai.google.dev/gemini-api/docs/pricing</t>
        </is>
      </c>
      <c r="I23" s="2" t="inlineStr">
        <is>
          <t>2026-09-29</t>
        </is>
      </c>
      <c r="J23" s="2" t="inlineStr">
        <is>
          <t>Plus $1.00 per 1M tokens per hour of cache storage, not modelled.</t>
        </is>
      </c>
    </row>
    <row r="24">
      <c r="A24" s="2" t="inlineStr">
        <is>
          <t>gemini25flash_out</t>
        </is>
      </c>
      <c r="B24" s="2" t="inlineStr">
        <is>
          <t>Google</t>
        </is>
      </c>
      <c r="C24" s="2" t="inlineStr">
        <is>
          <t>gemini-2.5-flash output</t>
        </is>
      </c>
      <c r="D24" s="2" t="inlineStr">
        <is>
          <t>USD per 1M tokens</t>
        </is>
      </c>
      <c r="E24" s="2" t="n">
        <v>2.5</v>
      </c>
      <c r="F24" s="2" t="inlineStr">
        <is>
          <t>USD</t>
        </is>
      </c>
      <c r="G24" s="3" t="inlineStr">
        <is>
          <t>vendor price</t>
        </is>
      </c>
      <c r="H24" s="2" t="inlineStr">
        <is>
          <t>https://ai.google.dev/gemini-api/docs/pricing</t>
        </is>
      </c>
      <c r="I24" s="2" t="inlineStr">
        <is>
          <t>2026-09-29</t>
        </is>
      </c>
      <c r="J24" s="2" t="inlineStr"/>
    </row>
    <row r="25">
      <c r="A25" s="2" t="inlineStr">
        <is>
          <t>sarvam105b_in</t>
        </is>
      </c>
      <c r="B25" s="2" t="inlineStr">
        <is>
          <t>Sarvam</t>
        </is>
      </c>
      <c r="C25" s="2" t="inlineStr">
        <is>
          <t>sarvam-105b input</t>
        </is>
      </c>
      <c r="D25" s="2" t="inlineStr">
        <is>
          <t>INR per 1M tokens</t>
        </is>
      </c>
      <c r="E25" s="2" t="n">
        <v>29.28</v>
      </c>
      <c r="F25" s="2" t="inlineStr">
        <is>
          <t>INR</t>
        </is>
      </c>
      <c r="G25" s="3" t="inlineStr">
        <is>
          <t>vendor price</t>
        </is>
      </c>
      <c r="H25" s="2" t="inlineStr">
        <is>
          <t>https://docs.sarvam.ai/api-reference-docs/pricing</t>
        </is>
      </c>
      <c r="I25" s="2" t="inlineStr">
        <is>
          <t>2026-09-29</t>
        </is>
      </c>
      <c r="J25" s="2" t="inlineStr"/>
    </row>
    <row r="26">
      <c r="A26" s="2" t="inlineStr">
        <is>
          <t>sarvam105b_cached</t>
        </is>
      </c>
      <c r="B26" s="2" t="inlineStr">
        <is>
          <t>Sarvam</t>
        </is>
      </c>
      <c r="C26" s="2" t="inlineStr">
        <is>
          <t>sarvam-105b cached input</t>
        </is>
      </c>
      <c r="D26" s="2" t="inlineStr">
        <is>
          <t>INR per 1M tokens</t>
        </is>
      </c>
      <c r="E26" s="2" t="n">
        <v>10.98</v>
      </c>
      <c r="F26" s="2" t="inlineStr">
        <is>
          <t>INR</t>
        </is>
      </c>
      <c r="G26" s="3" t="inlineStr">
        <is>
          <t>vendor price</t>
        </is>
      </c>
      <c r="H26" s="2" t="inlineStr">
        <is>
          <t>https://docs.sarvam.ai/api-reference-docs/pricing</t>
        </is>
      </c>
      <c r="I26" s="2" t="inlineStr">
        <is>
          <t>2026-09-29</t>
        </is>
      </c>
      <c r="J26" s="2" t="inlineStr"/>
    </row>
    <row r="27">
      <c r="A27" s="2" t="inlineStr">
        <is>
          <t>sarvam105b_out</t>
        </is>
      </c>
      <c r="B27" s="2" t="inlineStr">
        <is>
          <t>Sarvam</t>
        </is>
      </c>
      <c r="C27" s="2" t="inlineStr">
        <is>
          <t>sarvam-105b output</t>
        </is>
      </c>
      <c r="D27" s="2" t="inlineStr">
        <is>
          <t>INR per 1M tokens</t>
        </is>
      </c>
      <c r="E27" s="2" t="n">
        <v>73.2</v>
      </c>
      <c r="F27" s="2" t="inlineStr">
        <is>
          <t>INR</t>
        </is>
      </c>
      <c r="G27" s="3" t="inlineStr">
        <is>
          <t>vendor price</t>
        </is>
      </c>
      <c r="H27" s="2" t="inlineStr">
        <is>
          <t>https://docs.sarvam.ai/api-reference-docs/pricing</t>
        </is>
      </c>
      <c r="I27" s="2" t="inlineStr">
        <is>
          <t>2026-09-29</t>
        </is>
      </c>
      <c r="J27" s="2" t="inlineStr"/>
    </row>
    <row r="28">
      <c r="A28" s="2" t="inlineStr">
        <is>
          <t>embed_small</t>
        </is>
      </c>
      <c r="B28" s="2" t="inlineStr">
        <is>
          <t>OpenAI</t>
        </is>
      </c>
      <c r="C28" s="2" t="inlineStr">
        <is>
          <t>text-embedding-3-small</t>
        </is>
      </c>
      <c r="D28" s="2" t="inlineStr">
        <is>
          <t>USD per 1M tokens</t>
        </is>
      </c>
      <c r="E28" s="2" t="n">
        <v>0.02</v>
      </c>
      <c r="F28" s="2" t="inlineStr">
        <is>
          <t>USD</t>
        </is>
      </c>
      <c r="G28" s="3" t="inlineStr">
        <is>
          <t>vendor price</t>
        </is>
      </c>
      <c r="H28" s="2" t="inlineStr">
        <is>
          <t>https://developers.openai.com/api/docs/pricing</t>
        </is>
      </c>
      <c r="I28" s="2" t="inlineStr">
        <is>
          <t>2026-09-29</t>
        </is>
      </c>
      <c r="J28" s="2" t="inlineStr"/>
    </row>
    <row r="29">
      <c r="A29" s="2" t="inlineStr">
        <is>
          <t>sarvam_stt_hr</t>
        </is>
      </c>
      <c r="B29" s="2" t="inlineStr">
        <is>
          <t>Sarvam</t>
        </is>
      </c>
      <c r="C29" s="2" t="inlineStr">
        <is>
          <t>saaras:v3 / saarika streaming STT</t>
        </is>
      </c>
      <c r="D29" s="2" t="inlineStr">
        <is>
          <t>INR per hour</t>
        </is>
      </c>
      <c r="E29" s="2" t="n">
        <v>30</v>
      </c>
      <c r="F29" s="2" t="inlineStr">
        <is>
          <t>INR</t>
        </is>
      </c>
      <c r="G29" s="3" t="inlineStr">
        <is>
          <t>vendor price</t>
        </is>
      </c>
      <c r="H29" s="2" t="inlineStr">
        <is>
          <t>https://docs.sarvam.ai/api-reference-docs/pricing</t>
        </is>
      </c>
      <c r="I29" s="2" t="inlineStr">
        <is>
          <t>2026-09-29</t>
        </is>
      </c>
      <c r="J29" s="2" t="inlineStr"/>
    </row>
    <row r="30">
      <c r="A30" s="2" t="inlineStr">
        <is>
          <t>sarvam_tts_10k</t>
        </is>
      </c>
      <c r="B30" s="2" t="inlineStr">
        <is>
          <t>Sarvam</t>
        </is>
      </c>
      <c r="C30" s="2" t="inlineStr">
        <is>
          <t>bulbul:v3 TTS</t>
        </is>
      </c>
      <c r="D30" s="2" t="inlineStr">
        <is>
          <t>INR per 10k characters</t>
        </is>
      </c>
      <c r="E30" s="2" t="n">
        <v>30</v>
      </c>
      <c r="F30" s="2" t="inlineStr">
        <is>
          <t>INR</t>
        </is>
      </c>
      <c r="G30" s="3" t="inlineStr">
        <is>
          <t>vendor price</t>
        </is>
      </c>
      <c r="H30" s="2" t="inlineStr">
        <is>
          <t>https://docs.sarvam.ai/api-reference-docs/pricing</t>
        </is>
      </c>
      <c r="I30" s="2" t="inlineStr">
        <is>
          <t>2026-09-29</t>
        </is>
      </c>
      <c r="J30" s="2" t="inlineStr"/>
    </row>
    <row r="31">
      <c r="A31" s="2" t="inlineStr">
        <is>
          <t>sarvam_translate_10k</t>
        </is>
      </c>
      <c r="B31" s="2" t="inlineStr">
        <is>
          <t>Sarvam</t>
        </is>
      </c>
      <c r="C31" s="2" t="inlineStr">
        <is>
          <t>Translate</t>
        </is>
      </c>
      <c r="D31" s="2" t="inlineStr">
        <is>
          <t>INR per 10k characters</t>
        </is>
      </c>
      <c r="E31" s="2" t="n">
        <v>20</v>
      </c>
      <c r="F31" s="2" t="inlineStr">
        <is>
          <t>INR</t>
        </is>
      </c>
      <c r="G31" s="3" t="inlineStr">
        <is>
          <t>vendor price</t>
        </is>
      </c>
      <c r="H31" s="2" t="inlineStr">
        <is>
          <t>https://docs.sarvam.ai/api-reference-docs/pricing</t>
        </is>
      </c>
      <c r="I31" s="2" t="inlineStr">
        <is>
          <t>2026-09-29</t>
        </is>
      </c>
      <c r="J31" s="2" t="inlineStr">
        <is>
          <t>Tiers to Rs0.0045 and Rs0.004 a character at volume.</t>
        </is>
      </c>
    </row>
    <row r="32">
      <c r="A32" s="2" t="inlineStr">
        <is>
          <t>deepgram_flux_min</t>
        </is>
      </c>
      <c r="B32" s="2" t="inlineStr">
        <is>
          <t>Deepgram</t>
        </is>
      </c>
      <c r="C32" s="2" t="inlineStr">
        <is>
          <t>Flux multilingual streaming STT (managed instant tier)</t>
        </is>
      </c>
      <c r="D32" s="2" t="inlineStr">
        <is>
          <t>USD per minute</t>
        </is>
      </c>
      <c r="E32" s="2" t="n">
        <v>0.0078</v>
      </c>
      <c r="F32" s="2" t="inlineStr">
        <is>
          <t>USD</t>
        </is>
      </c>
      <c r="G32" s="4" t="inlineStr">
        <is>
          <t>code constant</t>
        </is>
      </c>
      <c r="H32" s="2" t="inlineStr">
        <is>
          <t>https://deepgram.com/pricing</t>
        </is>
      </c>
      <c r="I32" s="2" t="inlineStr">
        <is>
          <t>2026-09-14</t>
        </is>
      </c>
      <c r="J32" s="2" t="inlineStr">
        <is>
          <t>Code rate book. The 29 Sep survey read Nova-3 multilingual streaming at $0.0058 (Growth $0.0050); Flux was not on the page read. Re-verify.</t>
        </is>
      </c>
    </row>
    <row r="33">
      <c r="A33" s="2" t="inlineStr">
        <is>
          <t>deepgram_batch_min</t>
        </is>
      </c>
      <c r="B33" s="2" t="inlineStr">
        <is>
          <t>Deepgram</t>
        </is>
      </c>
      <c r="C33" s="2" t="inlineStr">
        <is>
          <t>Nova-3 pre-recorded (batch) STT</t>
        </is>
      </c>
      <c r="D33" s="2" t="inlineStr">
        <is>
          <t>USD per minute</t>
        </is>
      </c>
      <c r="E33" s="2" t="n">
        <v>0.0052</v>
      </c>
      <c r="F33" s="2" t="inlineStr">
        <is>
          <t>USD</t>
        </is>
      </c>
      <c r="G33" s="3" t="inlineStr">
        <is>
          <t>vendor price</t>
        </is>
      </c>
      <c r="H33" s="2" t="inlineStr">
        <is>
          <t>https://deepgram.com/pricing</t>
        </is>
      </c>
      <c r="I33" s="2" t="inlineStr">
        <is>
          <t>2026-09-29</t>
        </is>
      </c>
      <c r="J33" s="2" t="inlineStr"/>
    </row>
    <row r="34">
      <c r="A34" s="2" t="inlineStr">
        <is>
          <t>eleven_flash_1k</t>
        </is>
      </c>
      <c r="B34" s="2" t="inlineStr">
        <is>
          <t>ElevenLabs</t>
        </is>
      </c>
      <c r="C34" s="2" t="inlineStr">
        <is>
          <t>Flash v2.5 TTS, effective rate</t>
        </is>
      </c>
      <c r="D34" s="2" t="inlineStr">
        <is>
          <t>USD per 1k characters</t>
        </is>
      </c>
      <c r="E34" s="2" t="n">
        <v>0.05</v>
      </c>
      <c r="F34" s="2" t="inlineStr">
        <is>
          <t>USD</t>
        </is>
      </c>
      <c r="G34" s="5" t="inlineStr">
        <is>
          <t>assumption</t>
        </is>
      </c>
      <c r="H34" s="2" t="inlineStr">
        <is>
          <t>https://elevenlabs.io/pricing/api</t>
        </is>
      </c>
      <c r="I34" s="2" t="inlineStr">
        <is>
          <t>2026-09-29</t>
        </is>
      </c>
      <c r="J34" s="2" t="inlineStr">
        <is>
          <t>Official page on 29 Sep: pay-as-you-go $0.022/1k on a promotion to 12 Oct 2026, list $0.08/1k; Scale plan $299 for 9M chars = $0.033/1k; Business $990 for 27.18M = $0.036/1k. Our plan is unknown, so the code book's $0.05 is kept as a mid figure. Open question.</t>
        </is>
      </c>
    </row>
    <row r="35">
      <c r="A35" s="2" t="inlineStr">
        <is>
          <t>smallest_pro_10k</t>
        </is>
      </c>
      <c r="B35" s="2" t="inlineStr">
        <is>
          <t>Smallest.ai</t>
        </is>
      </c>
      <c r="C35" s="2" t="inlineStr">
        <is>
          <t>Lightning v3.1 Pro TTS (managed natural tier)</t>
        </is>
      </c>
      <c r="D35" s="2" t="inlineStr">
        <is>
          <t>USD per 10k characters</t>
        </is>
      </c>
      <c r="E35" s="2" t="n">
        <v>0.195</v>
      </c>
      <c r="F35" s="2" t="inlineStr">
        <is>
          <t>USD</t>
        </is>
      </c>
      <c r="G35" s="4" t="inlineStr">
        <is>
          <t>code constant</t>
        </is>
      </c>
      <c r="H35" s="2" t="inlineStr">
        <is>
          <t>https://smallest.ai/pricing/models</t>
        </is>
      </c>
      <c r="I35" s="2" t="inlineStr">
        <is>
          <t>2026-09-14</t>
        </is>
      </c>
      <c r="J35" s="2" t="inlineStr">
        <is>
          <t>Code rate book; not re-read on 29 Sep.</t>
        </is>
      </c>
    </row>
    <row r="36">
      <c r="A36" s="2" t="inlineStr">
        <is>
          <t>rumik_1k</t>
        </is>
      </c>
      <c r="B36" s="2" t="inlineStr">
        <is>
          <t>Rumik</t>
        </is>
      </c>
      <c r="C36" s="2" t="inlineStr">
        <is>
          <t>Mulberry TTS (managed basic tier)</t>
        </is>
      </c>
      <c r="D36" s="2" t="inlineStr">
        <is>
          <t>INR per 1k characters</t>
        </is>
      </c>
      <c r="E36" s="2" t="n">
        <v>0.5</v>
      </c>
      <c r="F36" s="2" t="inlineStr">
        <is>
          <t>INR</t>
        </is>
      </c>
      <c r="G36" s="4" t="inlineStr">
        <is>
          <t>code constant</t>
        </is>
      </c>
      <c r="H36" s="2" t="inlineStr">
        <is>
          <t>https://rumik.ai/pricing</t>
        </is>
      </c>
      <c r="I36" s="2" t="inlineStr">
        <is>
          <t>2026-09-14</t>
        </is>
      </c>
      <c r="J36" s="2" t="inlineStr">
        <is>
          <t>Code rate book, launch pricing; not re-read on 29 Sep.</t>
        </is>
      </c>
    </row>
    <row r="37">
      <c r="A37" s="2" t="inlineStr">
        <is>
          <t>gemini_live_in</t>
        </is>
      </c>
      <c r="B37" s="2" t="inlineStr">
        <is>
          <t>Google</t>
        </is>
      </c>
      <c r="C37" s="2" t="inlineStr">
        <is>
          <t>Gemini Live audio input</t>
        </is>
      </c>
      <c r="D37" s="2" t="inlineStr">
        <is>
          <t>USD per 1M tokens</t>
        </is>
      </c>
      <c r="E37" s="2" t="n">
        <v>3</v>
      </c>
      <c r="F37" s="2" t="inlineStr">
        <is>
          <t>USD</t>
        </is>
      </c>
      <c r="G37" s="3" t="inlineStr">
        <is>
          <t>vendor price</t>
        </is>
      </c>
      <c r="H37" s="2" t="inlineStr">
        <is>
          <t>https://ai.google.dev/gemini-api/docs/pricing</t>
        </is>
      </c>
      <c r="I37" s="2" t="inlineStr">
        <is>
          <t>2026-09-29</t>
        </is>
      </c>
      <c r="J37" s="2" t="inlineStr">
        <is>
          <t>Gemini 3.8 Live and 2.5 Flash native audio both $3.00 audio in.</t>
        </is>
      </c>
    </row>
    <row r="38">
      <c r="A38" s="2" t="inlineStr">
        <is>
          <t>gemini_live_cached</t>
        </is>
      </c>
      <c r="B38" s="2" t="inlineStr">
        <is>
          <t>Google</t>
        </is>
      </c>
      <c r="C38" s="2" t="inlineStr">
        <is>
          <t>Gemini Live cached audio input</t>
        </is>
      </c>
      <c r="D38" s="2" t="inlineStr">
        <is>
          <t>USD per 1M tokens</t>
        </is>
      </c>
      <c r="E38" s="2" t="n">
        <v>0.3</v>
      </c>
      <c r="F38" s="2" t="inlineStr">
        <is>
          <t>USD</t>
        </is>
      </c>
      <c r="G38" s="4" t="inlineStr">
        <is>
          <t>code constant</t>
        </is>
      </c>
      <c r="H38" s="2" t="inlineStr">
        <is>
          <t>https://ai.google.dev/gemini-api/docs/pricing</t>
        </is>
      </c>
      <c r="I38" s="2" t="inlineStr">
        <is>
          <t>2026-07</t>
        </is>
      </c>
      <c r="J38" s="2" t="inlineStr">
        <is>
          <t>Code rate book (realtime_rates.py); the page read on 29 Sep does not show a cached audio price for Live. Re-verify.</t>
        </is>
      </c>
    </row>
    <row r="39">
      <c r="A39" s="2" t="inlineStr">
        <is>
          <t>gemini_live_out</t>
        </is>
      </c>
      <c r="B39" s="2" t="inlineStr">
        <is>
          <t>Google</t>
        </is>
      </c>
      <c r="C39" s="2" t="inlineStr">
        <is>
          <t>Gemini Live audio output</t>
        </is>
      </c>
      <c r="D39" s="2" t="inlineStr">
        <is>
          <t>USD per 1M tokens</t>
        </is>
      </c>
      <c r="E39" s="2" t="n">
        <v>12</v>
      </c>
      <c r="F39" s="2" t="inlineStr">
        <is>
          <t>USD</t>
        </is>
      </c>
      <c r="G39" s="3" t="inlineStr">
        <is>
          <t>vendor price</t>
        </is>
      </c>
      <c r="H39" s="2" t="inlineStr">
        <is>
          <t>https://ai.google.dev/gemini-api/docs/pricing</t>
        </is>
      </c>
      <c r="I39" s="2" t="inlineStr">
        <is>
          <t>2026-09-29</t>
        </is>
      </c>
      <c r="J39" s="2" t="inlineStr"/>
    </row>
    <row r="40">
      <c r="A40" s="2" t="inlineStr">
        <is>
          <t>gemini_live_tps_in</t>
        </is>
      </c>
      <c r="B40" s="2" t="inlineStr">
        <is>
          <t>Google</t>
        </is>
      </c>
      <c r="C40" s="2" t="inlineStr">
        <is>
          <t>audio tokens per second, input</t>
        </is>
      </c>
      <c r="D40" s="2" t="inlineStr">
        <is>
          <t>tokens per second</t>
        </is>
      </c>
      <c r="E40" s="2" t="n">
        <v>32</v>
      </c>
      <c r="F40" s="2" t="inlineStr"/>
      <c r="G40" s="4" t="inlineStr">
        <is>
          <t>code constant</t>
        </is>
      </c>
      <c r="H40" s="2" t="inlineStr">
        <is>
          <t>https://ai.google.dev/gemini-api/docs/pricing</t>
        </is>
      </c>
      <c r="I40" s="2" t="inlineStr">
        <is>
          <t>2026-07</t>
        </is>
      </c>
      <c r="J40" s="2" t="inlineStr">
        <is>
          <t>realtime_rates.py; Google documents 32 tokens a second of audio.</t>
        </is>
      </c>
    </row>
    <row r="41">
      <c r="A41" s="2" t="inlineStr">
        <is>
          <t>gemini_live_tps_out</t>
        </is>
      </c>
      <c r="B41" s="2" t="inlineStr">
        <is>
          <t>Google</t>
        </is>
      </c>
      <c r="C41" s="2" t="inlineStr">
        <is>
          <t>audio tokens per second, output</t>
        </is>
      </c>
      <c r="D41" s="2" t="inlineStr">
        <is>
          <t>tokens per second</t>
        </is>
      </c>
      <c r="E41" s="2" t="n">
        <v>25</v>
      </c>
      <c r="F41" s="2" t="inlineStr"/>
      <c r="G41" s="4" t="inlineStr">
        <is>
          <t>code constant</t>
        </is>
      </c>
      <c r="H41" s="2" t="inlineStr">
        <is>
          <t>https://ai.google.dev/gemini-api/docs/pricing</t>
        </is>
      </c>
      <c r="I41" s="2" t="inlineStr">
        <is>
          <t>2026-07</t>
        </is>
      </c>
      <c r="J41" s="2" t="inlineStr">
        <is>
          <t>realtime_rates.py</t>
        </is>
      </c>
    </row>
    <row r="42">
      <c r="A42" s="2" t="inlineStr">
        <is>
          <t>oai_rt_in</t>
        </is>
      </c>
      <c r="B42" s="2" t="inlineStr">
        <is>
          <t>OpenAI</t>
        </is>
      </c>
      <c r="C42" s="2" t="inlineStr">
        <is>
          <t>gpt-realtime audio input (managed premium tier)</t>
        </is>
      </c>
      <c r="D42" s="2" t="inlineStr">
        <is>
          <t>USD per 1M tokens</t>
        </is>
      </c>
      <c r="E42" s="2" t="n">
        <v>32</v>
      </c>
      <c r="F42" s="2" t="inlineStr">
        <is>
          <t>USD</t>
        </is>
      </c>
      <c r="G42" s="3" t="inlineStr">
        <is>
          <t>vendor price</t>
        </is>
      </c>
      <c r="H42" s="2" t="inlineStr">
        <is>
          <t>https://developers.openai.com/api/docs/pricing</t>
        </is>
      </c>
      <c r="I42" s="2" t="inlineStr">
        <is>
          <t>2026-09-29</t>
        </is>
      </c>
      <c r="J42" s="2" t="inlineStr">
        <is>
          <t>Page lists gpt-realtime and gpt-realtime-1.5 at this price; the code names gpt-realtime-2.</t>
        </is>
      </c>
    </row>
    <row r="43">
      <c r="A43" s="2" t="inlineStr">
        <is>
          <t>oai_rt_cached</t>
        </is>
      </c>
      <c r="B43" s="2" t="inlineStr">
        <is>
          <t>OpenAI</t>
        </is>
      </c>
      <c r="C43" s="2" t="inlineStr">
        <is>
          <t>gpt-realtime-2 cached audio input</t>
        </is>
      </c>
      <c r="D43" s="2" t="inlineStr">
        <is>
          <t>USD per 1M tokens</t>
        </is>
      </c>
      <c r="E43" s="2" t="n">
        <v>0.4</v>
      </c>
      <c r="F43" s="2" t="inlineStr">
        <is>
          <t>USD</t>
        </is>
      </c>
      <c r="G43" s="3" t="inlineStr">
        <is>
          <t>vendor price</t>
        </is>
      </c>
      <c r="H43" s="2" t="inlineStr">
        <is>
          <t>https://developers.openai.com/api/docs/pricing</t>
        </is>
      </c>
      <c r="I43" s="2" t="inlineStr">
        <is>
          <t>2026-09-29</t>
        </is>
      </c>
      <c r="J43" s="2" t="inlineStr"/>
    </row>
    <row r="44">
      <c r="A44" s="2" t="inlineStr">
        <is>
          <t>oai_rt_out</t>
        </is>
      </c>
      <c r="B44" s="2" t="inlineStr">
        <is>
          <t>OpenAI</t>
        </is>
      </c>
      <c r="C44" s="2" t="inlineStr">
        <is>
          <t>gpt-realtime-2 audio output</t>
        </is>
      </c>
      <c r="D44" s="2" t="inlineStr">
        <is>
          <t>USD per 1M tokens</t>
        </is>
      </c>
      <c r="E44" s="2" t="n">
        <v>64</v>
      </c>
      <c r="F44" s="2" t="inlineStr">
        <is>
          <t>USD</t>
        </is>
      </c>
      <c r="G44" s="3" t="inlineStr">
        <is>
          <t>vendor price</t>
        </is>
      </c>
      <c r="H44" s="2" t="inlineStr">
        <is>
          <t>https://developers.openai.com/api/docs/pricing</t>
        </is>
      </c>
      <c r="I44" s="2" t="inlineStr">
        <is>
          <t>2026-09-29</t>
        </is>
      </c>
      <c r="J44" s="2" t="inlineStr"/>
    </row>
    <row r="45">
      <c r="A45" s="2" t="inlineStr">
        <is>
          <t>oai_rt_tps_in</t>
        </is>
      </c>
      <c r="B45" s="2" t="inlineStr">
        <is>
          <t>OpenAI</t>
        </is>
      </c>
      <c r="C45" s="2" t="inlineStr">
        <is>
          <t>audio tokens per second, input</t>
        </is>
      </c>
      <c r="D45" s="2" t="inlineStr">
        <is>
          <t>tokens per second</t>
        </is>
      </c>
      <c r="E45" s="2" t="n">
        <v>10</v>
      </c>
      <c r="F45" s="2" t="inlineStr"/>
      <c r="G45" s="4" t="inlineStr">
        <is>
          <t>code constant</t>
        </is>
      </c>
      <c r="H45" s="2" t="inlineStr">
        <is>
          <t>https://developers.openai.com/api/docs/pricing</t>
        </is>
      </c>
      <c r="I45" s="2" t="inlineStr">
        <is>
          <t>2026-07</t>
        </is>
      </c>
      <c r="J45" s="2" t="inlineStr">
        <is>
          <t>realtime_rates.py</t>
        </is>
      </c>
    </row>
    <row r="46">
      <c r="A46" s="2" t="inlineStr">
        <is>
          <t>oai_rt_tps_out</t>
        </is>
      </c>
      <c r="B46" s="2" t="inlineStr">
        <is>
          <t>OpenAI</t>
        </is>
      </c>
      <c r="C46" s="2" t="inlineStr">
        <is>
          <t>audio tokens per second, output</t>
        </is>
      </c>
      <c r="D46" s="2" t="inlineStr">
        <is>
          <t>tokens per second</t>
        </is>
      </c>
      <c r="E46" s="2" t="n">
        <v>20</v>
      </c>
      <c r="F46" s="2" t="inlineStr"/>
      <c r="G46" s="4" t="inlineStr">
        <is>
          <t>code constant</t>
        </is>
      </c>
      <c r="H46" s="2" t="inlineStr">
        <is>
          <t>https://developers.openai.com/api/docs/pricing</t>
        </is>
      </c>
      <c r="I46" s="2" t="inlineStr">
        <is>
          <t>2026-07</t>
        </is>
      </c>
      <c r="J46" s="2" t="inlineStr">
        <is>
          <t>realtime_rates.py</t>
        </is>
      </c>
    </row>
    <row r="47">
      <c r="A47" s="2" t="inlineStr">
        <is>
          <t>plivo_min</t>
        </is>
      </c>
      <c r="B47" s="2" t="inlineStr">
        <is>
          <t>Plivo</t>
        </is>
      </c>
      <c r="C47" s="2" t="inlineStr">
        <is>
          <t>India voice, inbound and outbound (Voice AI telephony)</t>
        </is>
      </c>
      <c r="D47" s="2" t="inlineStr">
        <is>
          <t>INR per minute</t>
        </is>
      </c>
      <c r="E47" s="2" t="n">
        <v>0.38</v>
      </c>
      <c r="F47" s="2" t="inlineStr">
        <is>
          <t>INR</t>
        </is>
      </c>
      <c r="G47" s="3" t="inlineStr">
        <is>
          <t>vendor price</t>
        </is>
      </c>
      <c r="H47" s="2" t="inlineStr">
        <is>
          <t>https://www.plivo.com/voice/pricing/in/</t>
        </is>
      </c>
      <c r="I47" s="2" t="inlineStr">
        <is>
          <t>2026-09-29</t>
        </is>
      </c>
      <c r="J47" s="2" t="inlineStr">
        <is>
          <t>Confirmed on the account 27 Aug 2026 per default_rates.py:964</t>
        </is>
      </c>
    </row>
    <row r="48">
      <c r="A48" s="2" t="inlineStr">
        <is>
          <t>plivo_number_month</t>
        </is>
      </c>
      <c r="B48" s="2" t="inlineStr">
        <is>
          <t>Plivo</t>
        </is>
      </c>
      <c r="C48" s="2" t="inlineStr">
        <is>
          <t>India virtual number rental</t>
        </is>
      </c>
      <c r="D48" s="2" t="inlineStr">
        <is>
          <t>INR per month</t>
        </is>
      </c>
      <c r="E48" s="2" t="n">
        <v>200</v>
      </c>
      <c r="F48" s="2" t="inlineStr">
        <is>
          <t>INR</t>
        </is>
      </c>
      <c r="G48" s="3" t="inlineStr">
        <is>
          <t>vendor price</t>
        </is>
      </c>
      <c r="H48" s="2" t="inlineStr">
        <is>
          <t>https://www.plivo.com/voice/pricing/in/</t>
        </is>
      </c>
      <c r="I48" s="2" t="inlineStr">
        <is>
          <t>2026-09-29</t>
        </is>
      </c>
      <c r="J48" s="2" t="inlineStr">
        <is>
          <t>The code carries Rs250 (api/constants.py:349 NUMBER_RENTAL_COST_PAISE). Carrier invoice not seen.</t>
        </is>
      </c>
    </row>
    <row r="49">
      <c r="A49" s="2" t="inlineStr">
        <is>
          <t>twilio_us_out_min</t>
        </is>
      </c>
      <c r="B49" s="2" t="inlineStr">
        <is>
          <t>Twilio</t>
        </is>
      </c>
      <c r="C49" s="2" t="inlineStr">
        <is>
          <t>US outbound voice</t>
        </is>
      </c>
      <c r="D49" s="2" t="inlineStr">
        <is>
          <t>USD per minute</t>
        </is>
      </c>
      <c r="E49" s="2" t="n">
        <v>0.014</v>
      </c>
      <c r="F49" s="2" t="inlineStr">
        <is>
          <t>USD</t>
        </is>
      </c>
      <c r="G49" s="3" t="inlineStr">
        <is>
          <t>vendor price</t>
        </is>
      </c>
      <c r="H49" s="2" t="inlineStr">
        <is>
          <t>https://www.twilio.com/en-us/voice/pricing/us</t>
        </is>
      </c>
      <c r="I49" s="2" t="inlineStr">
        <is>
          <t>2026-09-29</t>
        </is>
      </c>
      <c r="J49" s="2" t="inlineStr">
        <is>
          <t>Overseas reference carriage for the global voice price.</t>
        </is>
      </c>
    </row>
    <row r="50">
      <c r="A50" s="2" t="inlineStr">
        <is>
          <t>twilio_us_number_month</t>
        </is>
      </c>
      <c r="B50" s="2" t="inlineStr">
        <is>
          <t>Twilio</t>
        </is>
      </c>
      <c r="C50" s="2" t="inlineStr">
        <is>
          <t>US local number</t>
        </is>
      </c>
      <c r="D50" s="2" t="inlineStr">
        <is>
          <t>USD per month</t>
        </is>
      </c>
      <c r="E50" s="2" t="n">
        <v>1.15</v>
      </c>
      <c r="F50" s="2" t="inlineStr">
        <is>
          <t>USD</t>
        </is>
      </c>
      <c r="G50" s="3" t="inlineStr">
        <is>
          <t>vendor price</t>
        </is>
      </c>
      <c r="H50" s="2" t="inlineStr">
        <is>
          <t>https://www.twilio.com/en-us/phone-numbers/pricing/us</t>
        </is>
      </c>
      <c r="I50" s="2" t="inlineStr">
        <is>
          <t>2026-09-29</t>
        </is>
      </c>
      <c r="J50" s="2" t="inlineStr"/>
    </row>
    <row r="51">
      <c r="A51" s="2" t="inlineStr">
        <is>
          <t>wa_marketing</t>
        </is>
      </c>
      <c r="B51" s="2" t="inlineStr">
        <is>
          <t>Meta</t>
        </is>
      </c>
      <c r="C51" s="2" t="inlineStr">
        <is>
          <t>WhatsApp marketing template, India</t>
        </is>
      </c>
      <c r="D51" s="2" t="inlineStr">
        <is>
          <t>INR per message</t>
        </is>
      </c>
      <c r="E51" s="2" t="n">
        <v>0.8631</v>
      </c>
      <c r="F51" s="2" t="inlineStr">
        <is>
          <t>INR</t>
        </is>
      </c>
      <c r="G51" s="3" t="inlineStr">
        <is>
          <t>vendor price</t>
        </is>
      </c>
      <c r="H51" s="2" t="inlineStr">
        <is>
          <t>https://developers.facebook.com/documentation/business-messaging/whatsapp/pricing</t>
        </is>
      </c>
      <c r="I51" s="2" t="inlineStr">
        <is>
          <t>2026-09-29</t>
        </is>
      </c>
      <c r="J51" s="2" t="inlineStr">
        <is>
          <t>Matches exchange.py:115. Rate card effective 1 Jul 2026, unchanged on the 1 Oct 2026 card.</t>
        </is>
      </c>
    </row>
    <row r="52">
      <c r="A52" s="2" t="inlineStr">
        <is>
          <t>wa_utility</t>
        </is>
      </c>
      <c r="B52" s="2" t="inlineStr">
        <is>
          <t>Meta</t>
        </is>
      </c>
      <c r="C52" s="2" t="inlineStr">
        <is>
          <t>WhatsApp utility template, India</t>
        </is>
      </c>
      <c r="D52" s="2" t="inlineStr">
        <is>
          <t>INR per message</t>
        </is>
      </c>
      <c r="E52" s="2" t="n">
        <v>0.115</v>
      </c>
      <c r="F52" s="2" t="inlineStr">
        <is>
          <t>INR</t>
        </is>
      </c>
      <c r="G52" s="3" t="inlineStr">
        <is>
          <t>vendor price</t>
        </is>
      </c>
      <c r="H52" s="2" t="inlineStr">
        <is>
          <t>https://developers.facebook.com/documentation/business-messaging/whatsapp/pricing</t>
        </is>
      </c>
      <c r="I52" s="2" t="inlineStr">
        <is>
          <t>2026-09-29</t>
        </is>
      </c>
      <c r="J52" s="2" t="inlineStr">
        <is>
          <t>Free inside the 24 h service window until 30 Sep 2026; chargeable from 1 Oct 2026.</t>
        </is>
      </c>
    </row>
    <row r="53">
      <c r="A53" s="2" t="inlineStr">
        <is>
          <t>wa_auth</t>
        </is>
      </c>
      <c r="B53" s="2" t="inlineStr">
        <is>
          <t>Meta</t>
        </is>
      </c>
      <c r="C53" s="2" t="inlineStr">
        <is>
          <t>WhatsApp authentication template, India</t>
        </is>
      </c>
      <c r="D53" s="2" t="inlineStr">
        <is>
          <t>INR per message</t>
        </is>
      </c>
      <c r="E53" s="2" t="n">
        <v>0.115</v>
      </c>
      <c r="F53" s="2" t="inlineStr">
        <is>
          <t>INR</t>
        </is>
      </c>
      <c r="G53" s="3" t="inlineStr">
        <is>
          <t>vendor price</t>
        </is>
      </c>
      <c r="H53" s="2" t="inlineStr">
        <is>
          <t>https://developers.facebook.com/documentation/business-messaging/whatsapp/pricing</t>
        </is>
      </c>
      <c r="I53" s="2" t="inlineStr">
        <is>
          <t>2026-09-29</t>
        </is>
      </c>
      <c r="J53" s="2" t="inlineStr"/>
    </row>
    <row r="54">
      <c r="A54" s="2" t="inlineStr">
        <is>
          <t>wa_service</t>
        </is>
      </c>
      <c r="B54" s="2" t="inlineStr">
        <is>
          <t>Meta</t>
        </is>
      </c>
      <c r="C54" s="2" t="inlineStr">
        <is>
          <t>WhatsApp service message (customer-initiated window)</t>
        </is>
      </c>
      <c r="D54" s="2" t="inlineStr">
        <is>
          <t>INR per message</t>
        </is>
      </c>
      <c r="E54" s="2" t="n">
        <v>0.115</v>
      </c>
      <c r="F54" s="2" t="inlineStr">
        <is>
          <t>INR</t>
        </is>
      </c>
      <c r="G54" s="3" t="inlineStr">
        <is>
          <t>vendor price</t>
        </is>
      </c>
      <c r="H54" s="2" t="inlineStr">
        <is>
          <t>https://developers.facebook.com/documentation/business-messaging/whatsapp/pricing/non-template-messages</t>
        </is>
      </c>
      <c r="I54" s="2" t="inlineStr">
        <is>
          <t>2026-09-29</t>
        </is>
      </c>
      <c r="J54" s="2" t="inlineStr">
        <is>
          <t>Free until 30 Sep 2026. From 1 Oct 2026 charged at the utility rate after 1,000 free service messages per business number per month. Modelled at the October price since the pricing under test is not live yet.</t>
        </is>
      </c>
    </row>
    <row r="55">
      <c r="A55" s="2" t="inlineStr">
        <is>
          <t>serper_query</t>
        </is>
      </c>
      <c r="B55" s="2" t="inlineStr">
        <is>
          <t>Serper</t>
        </is>
      </c>
      <c r="C55" s="2" t="inlineStr">
        <is>
          <t>Search query (Starter 50k for $50; falls to $0.0003 on the Ultimate pack)</t>
        </is>
      </c>
      <c r="D55" s="2" t="inlineStr">
        <is>
          <t>USD per query</t>
        </is>
      </c>
      <c r="E55" s="2" t="n">
        <v>0.001</v>
      </c>
      <c r="F55" s="2" t="inlineStr">
        <is>
          <t>USD</t>
        </is>
      </c>
      <c r="G55" s="3" t="inlineStr">
        <is>
          <t>vendor price</t>
        </is>
      </c>
      <c r="H55" s="2" t="inlineStr">
        <is>
          <t>https://serper.dev/</t>
        </is>
      </c>
      <c r="I55" s="2" t="inlineStr">
        <is>
          <t>2026-09-29</t>
        </is>
      </c>
      <c r="J55" s="2" t="inlineStr"/>
    </row>
    <row r="56">
      <c r="A56" s="2" t="inlineStr">
        <is>
          <t>composio_call</t>
        </is>
      </c>
      <c r="B56" s="2" t="inlineStr">
        <is>
          <t>Composio</t>
        </is>
      </c>
      <c r="C56" s="2" t="inlineStr">
        <is>
          <t>Tool call past the free tier (Hobby: 100k calls a month free; Pro $29 a month)</t>
        </is>
      </c>
      <c r="D56" s="2" t="inlineStr">
        <is>
          <t>USD per call</t>
        </is>
      </c>
      <c r="E56" s="2" t="n">
        <v>0.0003</v>
      </c>
      <c r="F56" s="2" t="inlineStr">
        <is>
          <t>USD</t>
        </is>
      </c>
      <c r="G56" s="3" t="inlineStr">
        <is>
          <t>vendor price</t>
        </is>
      </c>
      <c r="H56" s="2" t="inlineStr">
        <is>
          <t>https://composio.dev/pricing</t>
        </is>
      </c>
      <c r="I56" s="2" t="inlineStr">
        <is>
          <t>2026-09-29</t>
        </is>
      </c>
      <c r="J56" s="2" t="inlineStr">
        <is>
          <t>readiness.py:1229-1234 records the same figure. Below 100k calls a month the marginal cost is zero; the list rate is used so the model does not depend on staying under the cap.</t>
        </is>
      </c>
    </row>
    <row r="57">
      <c r="A57" s="2" t="inlineStr">
        <is>
          <t>razorpay_mdr</t>
        </is>
      </c>
      <c r="B57" s="2" t="inlineStr">
        <is>
          <t>Razorpay</t>
        </is>
      </c>
      <c r="C57" s="2" t="inlineStr">
        <is>
          <t>Standard payment MDR</t>
        </is>
      </c>
      <c r="D57" s="2" t="inlineStr">
        <is>
          <t>share of payment</t>
        </is>
      </c>
      <c r="E57" s="2" t="n">
        <v>0.02</v>
      </c>
      <c r="F57" s="2" t="inlineStr"/>
      <c r="G57" s="3" t="inlineStr">
        <is>
          <t>vendor price</t>
        </is>
      </c>
      <c r="H57" s="2" t="inlineStr">
        <is>
          <t>https://razorpay.com/pricing/</t>
        </is>
      </c>
      <c r="I57" s="2" t="inlineStr">
        <is>
          <t>2026-09-29</t>
        </is>
      </c>
      <c r="J57" s="2" t="inlineStr">
        <is>
          <t>Plus 18% GST on the fee.</t>
        </is>
      </c>
    </row>
    <row r="58">
      <c r="A58" s="2" t="inlineStr">
        <is>
          <t>s3_gb_month</t>
        </is>
      </c>
      <c r="B58" s="2" t="inlineStr">
        <is>
          <t>AWS</t>
        </is>
      </c>
      <c r="C58" s="2" t="inlineStr">
        <is>
          <t>S3 Standard, ap-south-1</t>
        </is>
      </c>
      <c r="D58" s="2" t="inlineStr">
        <is>
          <t>USD per GB-month</t>
        </is>
      </c>
      <c r="E58" s="2" t="n">
        <v>0.025</v>
      </c>
      <c r="F58" s="2" t="inlineStr">
        <is>
          <t>USD</t>
        </is>
      </c>
      <c r="G58" s="3" t="inlineStr">
        <is>
          <t>vendor price</t>
        </is>
      </c>
      <c r="H58" s="2" t="inlineStr">
        <is>
          <t>https://aws.amazon.com/s3/pricing/</t>
        </is>
      </c>
      <c r="I58" s="2" t="inlineStr">
        <is>
          <t>2026-09-29</t>
        </is>
      </c>
      <c r="J58" s="2" t="inlineStr"/>
    </row>
    <row r="59">
      <c r="A59" s="2" t="inlineStr">
        <is>
          <t>ebs_gp3_gb_month</t>
        </is>
      </c>
      <c r="B59" s="2" t="inlineStr">
        <is>
          <t>AWS</t>
        </is>
      </c>
      <c r="C59" s="2" t="inlineStr">
        <is>
          <t>EBS gp3, ap-south-1</t>
        </is>
      </c>
      <c r="D59" s="2" t="inlineStr">
        <is>
          <t>USD per GB-month</t>
        </is>
      </c>
      <c r="E59" s="2" t="n">
        <v>0.0912</v>
      </c>
      <c r="F59" s="2" t="inlineStr">
        <is>
          <t>USD</t>
        </is>
      </c>
      <c r="G59" s="3" t="inlineStr">
        <is>
          <t>vendor price</t>
        </is>
      </c>
      <c r="H59" s="2" t="inlineStr">
        <is>
          <t>https://aws.amazon.com/ebs/pricing/</t>
        </is>
      </c>
      <c r="I59" s="2" t="inlineStr">
        <is>
          <t>2026-09-29</t>
        </is>
      </c>
      <c r="J59" s="2" t="inlineStr"/>
    </row>
    <row r="60">
      <c r="A60" s="2" t="inlineStr">
        <is>
          <t>ec2_hour</t>
        </is>
      </c>
      <c r="B60" s="2" t="inlineStr">
        <is>
          <t>AWS</t>
        </is>
      </c>
      <c r="C60" s="2" t="inlineStr">
        <is>
          <t>EC2 t3.xlarge (4 vCPU, 16 GB) on-demand Linux, ap-south-1</t>
        </is>
      </c>
      <c r="D60" s="2" t="inlineStr">
        <is>
          <t>USD per hour</t>
        </is>
      </c>
      <c r="E60" s="2" t="n">
        <v>0.1792</v>
      </c>
      <c r="F60" s="2" t="inlineStr">
        <is>
          <t>USD</t>
        </is>
      </c>
      <c r="G60" s="3" t="inlineStr">
        <is>
          <t>vendor price</t>
        </is>
      </c>
      <c r="H60" s="2" t="inlineStr">
        <is>
          <t>https://aws.amazon.com/ec2/pricing/on-demand/</t>
        </is>
      </c>
      <c r="I60" s="2" t="inlineStr">
        <is>
          <t>2026-09-29</t>
        </is>
      </c>
      <c r="J60" s="2" t="inlineStr">
        <is>
          <t>The PRICE is official; the INSTANCE TYPE is an assumption. The box's type is not in the repo. Replace with the AWS invoice.</t>
        </is>
      </c>
    </row>
    <row r="61">
      <c r="A61" s="2" t="inlineStr">
        <is>
          <t>egress_gb</t>
        </is>
      </c>
      <c r="B61" s="2" t="inlineStr">
        <is>
          <t>AWS</t>
        </is>
      </c>
      <c r="C61" s="2" t="inlineStr">
        <is>
          <t>Data transfer out to internet, ap-south-1 (first 10 TB)</t>
        </is>
      </c>
      <c r="D61" s="2" t="inlineStr">
        <is>
          <t>USD per GB</t>
        </is>
      </c>
      <c r="E61" s="2" t="n">
        <v>0.1093</v>
      </c>
      <c r="F61" s="2" t="inlineStr">
        <is>
          <t>USD</t>
        </is>
      </c>
      <c r="G61" s="3" t="inlineStr">
        <is>
          <t>vendor price</t>
        </is>
      </c>
      <c r="H61" s="2" t="inlineStr">
        <is>
          <t>https://aws.amazon.com/ec2/pricing/on-demand/</t>
        </is>
      </c>
      <c r="I61" s="2" t="inlineStr">
        <is>
          <t>2026-09-29</t>
        </is>
      </c>
      <c r="J6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26" customWidth="1" min="1" max="1"/>
    <col width="26" customWidth="1" min="2" max="2"/>
    <col width="40" customWidth="1" min="3" max="3"/>
    <col width="12" customWidth="1" min="4" max="4"/>
    <col width="14" customWidth="1" min="5" max="5"/>
    <col width="10" customWidth="1" min="6" max="6"/>
    <col width="50" customWidth="1" min="7" max="7"/>
    <col width="60" customWidth="1" min="8" max="8"/>
  </cols>
  <sheetData>
    <row r="1">
      <c r="A1" s="1" t="inlineStr">
        <is>
          <t>Key</t>
        </is>
      </c>
      <c r="B1" s="1" t="inlineStr">
        <is>
          <t>Activity</t>
        </is>
      </c>
      <c r="C1" s="1" t="inlineStr">
        <is>
          <t>Metric</t>
        </is>
      </c>
      <c r="D1" s="1" t="inlineStr">
        <is>
          <t>Value</t>
        </is>
      </c>
      <c r="E1" s="1" t="inlineStr">
        <is>
          <t>Label</t>
        </is>
      </c>
      <c r="F1" s="1" t="inlineStr">
        <is>
          <t>Sample (n)</t>
        </is>
      </c>
      <c r="G1" s="1" t="inlineStr">
        <is>
          <t>Source</t>
        </is>
      </c>
      <c r="H1" s="1" t="inlineStr">
        <is>
          <t>Note</t>
        </is>
      </c>
    </row>
    <row r="2">
      <c r="A2" s="2" t="inlineStr">
        <is>
          <t>sys_prompt_tokens</t>
        </is>
      </c>
      <c r="B2" s="2" t="inlineStr">
        <is>
          <t>Decibyl chat</t>
        </is>
      </c>
      <c r="C2" s="2" t="inlineStr">
        <is>
          <t>System prompt tokens (all flags on)</t>
        </is>
      </c>
      <c r="D2" s="2" t="n">
        <v>2523</v>
      </c>
      <c r="E2" s="6" t="inlineStr">
        <is>
          <t>measured</t>
        </is>
      </c>
      <c r="F2" s="2" t="n">
        <v>1</v>
      </c>
      <c r="G2" s="2" t="inlineStr">
        <is>
          <t>Measured locally: api/services/workflow/decibyl.py prompt rendered, cl100k_base tokenizer</t>
        </is>
      </c>
      <c r="H2" s="2" t="inlineStr">
        <is>
          <t>Grows with memory and connected apps; this is the floor.</t>
        </is>
      </c>
    </row>
    <row r="3">
      <c r="A3" s="2" t="inlineStr">
        <is>
          <t>tools_schema_tokens</t>
        </is>
      </c>
      <c r="B3" s="2" t="inlineStr">
        <is>
          <t>Decibyl chat</t>
        </is>
      </c>
      <c r="C3" s="2" t="inlineStr">
        <is>
          <t>Tool schema tokens (24 office tools)</t>
        </is>
      </c>
      <c r="D3" s="2" t="n">
        <v>5674</v>
      </c>
      <c r="E3" s="6" t="inlineStr">
        <is>
          <t>measured</t>
        </is>
      </c>
      <c r="F3" s="2" t="n">
        <v>1</v>
      </c>
      <c r="G3" s="2" t="inlineStr">
        <is>
          <t>Measured locally: tool JSON schemas, cl100k_base</t>
        </is>
      </c>
      <c r="H3" s="2" t="inlineStr">
        <is>
          <t>Sent on every turn.</t>
        </is>
      </c>
    </row>
    <row r="4">
      <c r="A4" s="2" t="inlineStr">
        <is>
          <t>history_tokens_med</t>
        </is>
      </c>
      <c r="B4" s="2" t="inlineStr">
        <is>
          <t>Decibyl chat</t>
        </is>
      </c>
      <c r="C4" s="2" t="inlineStr">
        <is>
          <t>Conversation history + memory tokens, median</t>
        </is>
      </c>
      <c r="D4" s="2" t="n">
        <v>3000</v>
      </c>
      <c r="E4" s="5" t="inlineStr">
        <is>
          <t>assumption</t>
        </is>
      </c>
      <c r="F4" s="2" t="n">
        <v>0</v>
      </c>
      <c r="G4" s="2" t="inlineStr">
        <is>
          <t>No per-turn token receipts were readable (superadmin only); see Open questions</t>
        </is>
      </c>
      <c r="H4" s="2" t="inlineStr">
        <is>
          <t>Sensitivity: p90 uses 8,000.</t>
        </is>
      </c>
    </row>
    <row r="5">
      <c r="A5" s="2" t="inlineStr">
        <is>
          <t>history_tokens_p90</t>
        </is>
      </c>
      <c r="B5" s="2" t="inlineStr">
        <is>
          <t>Decibyl chat</t>
        </is>
      </c>
      <c r="C5" s="2" t="inlineStr">
        <is>
          <t>Conversation history + memory tokens, p90</t>
        </is>
      </c>
      <c r="D5" s="2" t="n">
        <v>8000</v>
      </c>
      <c r="E5" s="5" t="inlineStr">
        <is>
          <t>assumption</t>
        </is>
      </c>
      <c r="F5" s="2" t="n">
        <v>0</v>
      </c>
      <c r="G5" s="2" t="inlineStr">
        <is>
          <t>As above</t>
        </is>
      </c>
      <c r="H5" s="2" t="inlineStr"/>
    </row>
    <row r="6">
      <c r="A6" s="2" t="inlineStr">
        <is>
          <t>chat_out_med</t>
        </is>
      </c>
      <c r="B6" s="2" t="inlineStr">
        <is>
          <t>Decibyl chat</t>
        </is>
      </c>
      <c r="C6" s="2" t="inlineStr">
        <is>
          <t>Output tokens per reply, median</t>
        </is>
      </c>
      <c r="D6" s="2" t="n">
        <v>300</v>
      </c>
      <c r="E6" s="5" t="inlineStr">
        <is>
          <t>assumption</t>
        </is>
      </c>
      <c r="F6" s="2" t="n">
        <v>0</v>
      </c>
      <c r="G6" s="2" t="inlineStr">
        <is>
          <t>Typical chat reply of 150-250 words</t>
        </is>
      </c>
      <c r="H6" s="2" t="inlineStr"/>
    </row>
    <row r="7">
      <c r="A7" s="2" t="inlineStr">
        <is>
          <t>chat_out_p90</t>
        </is>
      </c>
      <c r="B7" s="2" t="inlineStr">
        <is>
          <t>Decibyl chat</t>
        </is>
      </c>
      <c r="C7" s="2" t="inlineStr">
        <is>
          <t>Output tokens per reply, p90</t>
        </is>
      </c>
      <c r="D7" s="2" t="n">
        <v>900</v>
      </c>
      <c r="E7" s="5" t="inlineStr">
        <is>
          <t>assumption</t>
        </is>
      </c>
      <c r="F7" s="2" t="n">
        <v>0</v>
      </c>
      <c r="G7" s="2" t="inlineStr">
        <is>
          <t>Long reply or a drafted email</t>
        </is>
      </c>
      <c r="H7" s="2" t="inlineStr"/>
    </row>
    <row r="8">
      <c r="A8" s="2" t="inlineStr">
        <is>
          <t>chat_tool_calls</t>
        </is>
      </c>
      <c r="B8" s="2" t="inlineStr">
        <is>
          <t>Decibyl chat</t>
        </is>
      </c>
      <c r="C8" s="2" t="inlineStr">
        <is>
          <t>Tool calls per chat message, mean</t>
        </is>
      </c>
      <c r="D8" s="2" t="n">
        <v>0.6</v>
      </c>
      <c r="E8" s="5" t="inlineStr">
        <is>
          <t>assumption</t>
        </is>
      </c>
      <c r="F8" s="2" t="n">
        <v>0</v>
      </c>
      <c r="G8" s="2" t="inlineStr">
        <is>
          <t>200 exported runs show nodes_visited 1-3 per textchat run; a plain question is 0, an action is 1-2</t>
        </is>
      </c>
      <c r="H8" s="2" t="inlineStr"/>
    </row>
    <row r="9">
      <c r="A9" s="2" t="inlineStr">
        <is>
          <t>cache_hit</t>
        </is>
      </c>
      <c r="B9" s="2" t="inlineStr">
        <is>
          <t>All LLM</t>
        </is>
      </c>
      <c r="C9" s="2" t="inlineStr">
        <is>
          <t>Prompt-cache hit rate on input tokens (base)</t>
        </is>
      </c>
      <c r="D9" s="2" t="n">
        <v>0.7</v>
      </c>
      <c r="E9" s="5" t="inlineStr">
        <is>
          <t>assumption</t>
        </is>
      </c>
      <c r="F9" s="2" t="n">
        <v>0</v>
      </c>
      <c r="G9" s="2" t="inlineStr">
        <is>
          <t>The stable prefix (system prompt + tools = 8,197 tokens) is 73% of a median input; OpenAI caches prefixes over 1,024 tokens automatically</t>
        </is>
      </c>
      <c r="H9" s="2" t="inlineStr">
        <is>
          <t>No measured hit rate exists: call_turn_metrics.cached_tokens is superadmin-only. Sensitivity runs 0.5 and 0.9.</t>
        </is>
      </c>
    </row>
    <row r="10">
      <c r="A10" s="2" t="inlineStr">
        <is>
          <t>builder_in</t>
        </is>
      </c>
      <c r="B10" s="2" t="inlineStr">
        <is>
          <t>Agent builder</t>
        </is>
      </c>
      <c r="C10" s="2" t="inlineStr">
        <is>
          <t>Input tokens per builder message</t>
        </is>
      </c>
      <c r="D10" s="2" t="n">
        <v>9000</v>
      </c>
      <c r="E10" s="5" t="inlineStr">
        <is>
          <t>assumption</t>
        </is>
      </c>
      <c r="F10" s="2" t="n">
        <v>0</v>
      </c>
      <c r="G10" s="2" t="inlineStr">
        <is>
          <t>Builder prompt + the agent draft resent each turn; not measured (AGENT_BUILDER_ENABLED is off in production)</t>
        </is>
      </c>
      <c r="H10" s="2" t="inlineStr"/>
    </row>
    <row r="11">
      <c r="A11" s="2" t="inlineStr">
        <is>
          <t>builder_out</t>
        </is>
      </c>
      <c r="B11" s="2" t="inlineStr">
        <is>
          <t>Agent builder</t>
        </is>
      </c>
      <c r="C11" s="2" t="inlineStr">
        <is>
          <t>Output tokens per builder message</t>
        </is>
      </c>
      <c r="D11" s="2" t="n">
        <v>1200</v>
      </c>
      <c r="E11" s="5" t="inlineStr">
        <is>
          <t>assumption</t>
        </is>
      </c>
      <c r="F11" s="2" t="n">
        <v>0</v>
      </c>
      <c r="G11" s="2" t="inlineStr">
        <is>
          <t>A builder turn rewrites part of the draft</t>
        </is>
      </c>
      <c r="H11" s="2" t="inlineStr"/>
    </row>
    <row r="12">
      <c r="A12" s="2" t="inlineStr">
        <is>
          <t>task_llm_turns</t>
        </is>
      </c>
      <c r="B12" s="2" t="inlineStr">
        <is>
          <t>Task run</t>
        </is>
      </c>
      <c r="C12" s="2" t="inlineStr">
        <is>
          <t>LLM turns per task run</t>
        </is>
      </c>
      <c r="D12" s="2" t="n">
        <v>3</v>
      </c>
      <c r="E12" s="5" t="inlineStr">
        <is>
          <t>assumption</t>
        </is>
      </c>
      <c r="F12" s="2" t="n">
        <v>0</v>
      </c>
      <c r="G12" s="2" t="inlineStr">
        <is>
          <t>Exported runs: textchat runs visit 1-3 nodes; a task with tools takes plan, act, report</t>
        </is>
      </c>
      <c r="H12" s="2" t="inlineStr"/>
    </row>
    <row r="13">
      <c r="A13" s="2" t="inlineStr">
        <is>
          <t>task_tool_calls</t>
        </is>
      </c>
      <c r="B13" s="2" t="inlineStr">
        <is>
          <t>Task run</t>
        </is>
      </c>
      <c r="C13" s="2" t="inlineStr">
        <is>
          <t>Tool calls per task run</t>
        </is>
      </c>
      <c r="D13" s="2" t="n">
        <v>2</v>
      </c>
      <c r="E13" s="5" t="inlineStr">
        <is>
          <t>assumption</t>
        </is>
      </c>
      <c r="F13" s="2" t="n">
        <v>0</v>
      </c>
      <c r="G13" s="2" t="inlineStr">
        <is>
          <t>As above</t>
        </is>
      </c>
      <c r="H13" s="2" t="inlineStr"/>
    </row>
    <row r="14">
      <c r="A14" s="2" t="inlineStr">
        <is>
          <t>routine_llm_turns</t>
        </is>
      </c>
      <c r="B14" s="2" t="inlineStr">
        <is>
          <t>Routine run</t>
        </is>
      </c>
      <c r="C14" s="2" t="inlineStr">
        <is>
          <t>LLM turns per routine run</t>
        </is>
      </c>
      <c r="D14" s="2" t="n">
        <v>1</v>
      </c>
      <c r="E14" s="6" t="inlineStr">
        <is>
          <t>measured</t>
        </is>
      </c>
      <c r="F14" s="2" t="n">
        <v>20</v>
      </c>
      <c r="G14" s="2" t="inlineStr">
        <is>
          <t>finance/costing-2026-10/raw/usage_runs*.json: 'Inbox Brief' routine runs, nodes_visited ['Start'], median 7 s on gpt-5-nano</t>
        </is>
      </c>
      <c r="H14" s="2" t="inlineStr"/>
    </row>
    <row r="15">
      <c r="A15" s="2" t="inlineStr">
        <is>
          <t>routine_tool_calls</t>
        </is>
      </c>
      <c r="B15" s="2" t="inlineStr">
        <is>
          <t>Routine run</t>
        </is>
      </c>
      <c r="C15" s="2" t="inlineStr">
        <is>
          <t>Tool calls per routine run</t>
        </is>
      </c>
      <c r="D15" s="2" t="n">
        <v>1</v>
      </c>
      <c r="E15" s="6" t="inlineStr">
        <is>
          <t>measured</t>
        </is>
      </c>
      <c r="F15" s="2" t="n">
        <v>20</v>
      </c>
      <c r="G15" s="2" t="inlineStr">
        <is>
          <t>Same runs: one Gmail fetch each (usage_review.json summaries)</t>
        </is>
      </c>
      <c r="H15" s="2" t="inlineStr"/>
    </row>
    <row r="16">
      <c r="A16" s="2" t="inlineStr">
        <is>
          <t>trigger_llm_turns</t>
        </is>
      </c>
      <c r="B16" s="2" t="inlineStr">
        <is>
          <t>Trigger run</t>
        </is>
      </c>
      <c r="C16" s="2" t="inlineStr">
        <is>
          <t>LLM turns per trigger run</t>
        </is>
      </c>
      <c r="D16" s="2" t="n">
        <v>1</v>
      </c>
      <c r="E16" s="5" t="inlineStr">
        <is>
          <t>assumption</t>
        </is>
      </c>
      <c r="F16" s="2" t="n">
        <v>0</v>
      </c>
      <c r="G16" s="2" t="inlineStr">
        <is>
          <t>A trigger is one reply to one event</t>
        </is>
      </c>
      <c r="H16" s="2" t="inlineStr"/>
    </row>
    <row r="17">
      <c r="A17" s="2" t="inlineStr">
        <is>
          <t>kb_pages</t>
        </is>
      </c>
      <c r="B17" s="2" t="inlineStr">
        <is>
          <t>Knowledge ingest</t>
        </is>
      </c>
      <c r="C17" s="2" t="inlineStr">
        <is>
          <t>Pages per ingested document (reference: 10-page PDF)</t>
        </is>
      </c>
      <c r="D17" s="2" t="n">
        <v>10</v>
      </c>
      <c r="E17" s="5" t="inlineStr">
        <is>
          <t>assumption</t>
        </is>
      </c>
      <c r="F17" s="2" t="n">
        <v>0</v>
      </c>
      <c r="G17" s="2" t="inlineStr">
        <is>
          <t>Prompt scenario C</t>
        </is>
      </c>
      <c r="H17" s="2" t="inlineStr"/>
    </row>
    <row r="18">
      <c r="A18" s="2" t="inlineStr">
        <is>
          <t>kb_chars_per_page</t>
        </is>
      </c>
      <c r="B18" s="2" t="inlineStr">
        <is>
          <t>Knowledge ingest</t>
        </is>
      </c>
      <c r="C18" s="2" t="inlineStr">
        <is>
          <t>Characters per page</t>
        </is>
      </c>
      <c r="D18" s="2" t="n">
        <v>3000</v>
      </c>
      <c r="E18" s="4" t="inlineStr">
        <is>
          <t>code constant</t>
        </is>
      </c>
      <c r="F18" s="2" t="n">
        <v>0</v>
      </c>
      <c r="G18" s="2" t="inlineStr">
        <is>
          <t>api/services/billing/knowledge_pages.py:45 CHARS_PER_PAGE</t>
        </is>
      </c>
      <c r="H18" s="2" t="inlineStr"/>
    </row>
    <row r="19">
      <c r="A19" s="2" t="inlineStr">
        <is>
          <t>kb_tokens_per_char</t>
        </is>
      </c>
      <c r="B19" s="2" t="inlineStr">
        <is>
          <t>Knowledge ingest</t>
        </is>
      </c>
      <c r="C19" s="2" t="inlineStr">
        <is>
          <t>Tokens per character (English prose)</t>
        </is>
      </c>
      <c r="D19" s="2" t="n">
        <v>0.25</v>
      </c>
      <c r="E19" s="5" t="inlineStr">
        <is>
          <t>assumption</t>
        </is>
      </c>
      <c r="F19" s="2" t="n">
        <v>0</v>
      </c>
      <c r="G19" s="2" t="inlineStr">
        <is>
          <t>cl100k: about 4 characters per token</t>
        </is>
      </c>
      <c r="H19" s="2" t="inlineStr"/>
    </row>
    <row r="20">
      <c r="A20" s="2" t="inlineStr">
        <is>
          <t>kb_answer_ctx</t>
        </is>
      </c>
      <c r="B20" s="2" t="inlineStr">
        <is>
          <t>Knowledge answer</t>
        </is>
      </c>
      <c r="C20" s="2" t="inlineStr">
        <is>
          <t>Retrieved context tokens added to the reply</t>
        </is>
      </c>
      <c r="D20" s="2" t="n">
        <v>3000</v>
      </c>
      <c r="E20" s="5" t="inlineStr">
        <is>
          <t>assumption</t>
        </is>
      </c>
      <c r="F20" s="2" t="n">
        <v>0</v>
      </c>
      <c r="G20" s="2" t="inlineStr">
        <is>
          <t>Top-k chunks; the code caps chat_context_tokens per plan (plan_limits.py)</t>
        </is>
      </c>
      <c r="H20" s="2" t="inlineStr"/>
    </row>
    <row r="21">
      <c r="A21" s="2" t="inlineStr">
        <is>
          <t>kb_query_tokens</t>
        </is>
      </c>
      <c r="B21" s="2" t="inlineStr">
        <is>
          <t>Knowledge answer</t>
        </is>
      </c>
      <c r="C21" s="2" t="inlineStr">
        <is>
          <t>Query embedding tokens</t>
        </is>
      </c>
      <c r="D21" s="2" t="n">
        <v>40</v>
      </c>
      <c r="E21" s="5" t="inlineStr">
        <is>
          <t>assumption</t>
        </is>
      </c>
      <c r="F21" s="2" t="n">
        <v>0</v>
      </c>
      <c r="G21" s="2" t="inlineStr"/>
      <c r="H21" s="2" t="inlineStr"/>
    </row>
    <row r="22">
      <c r="A22" s="2" t="inlineStr">
        <is>
          <t>calls_30d</t>
        </is>
      </c>
      <c r="B22" s="2" t="inlineStr">
        <is>
          <t>Voice</t>
        </is>
      </c>
      <c r="C22" s="2" t="inlineStr">
        <is>
          <t>Calls in the last 30 days</t>
        </is>
      </c>
      <c r="D22" s="2" t="n">
        <v>301</v>
      </c>
      <c r="E22" s="6" t="inlineStr">
        <is>
          <t>measured</t>
        </is>
      </c>
      <c r="F22" s="2" t="n">
        <v>301</v>
      </c>
      <c r="G22" s="2" t="inlineStr">
        <is>
          <t>finance/costing-2026-10/raw/usage_calls.json totals.calls (31 Aug to 29 Sep 2026)</t>
        </is>
      </c>
      <c r="H22" s="2" t="inlineStr"/>
    </row>
    <row r="23">
      <c r="A23" s="2" t="inlineStr">
        <is>
          <t>billable_min_30d</t>
        </is>
      </c>
      <c r="B23" s="2" t="inlineStr">
        <is>
          <t>Voice</t>
        </is>
      </c>
      <c r="C23" s="2" t="inlineStr">
        <is>
          <t>Billable minutes in the last 30 days</t>
        </is>
      </c>
      <c r="D23" s="2" t="n">
        <v>120.6666666666667</v>
      </c>
      <c r="E23" s="6" t="inlineStr">
        <is>
          <t>measured</t>
        </is>
      </c>
      <c r="F23" s="2" t="n">
        <v>301</v>
      </c>
      <c r="G23" s="2" t="inlineStr">
        <is>
          <t>finance/costing-2026-10/raw/usage_calls.json totals.billable_seconds / 60</t>
        </is>
      </c>
      <c r="H23" s="2" t="inlineStr"/>
    </row>
    <row r="24">
      <c r="A24" s="2" t="inlineStr">
        <is>
          <t>charged_30d_inr</t>
        </is>
      </c>
      <c r="B24" s="2" t="inlineStr">
        <is>
          <t>Voice</t>
        </is>
      </c>
      <c r="C24" s="2" t="inlineStr">
        <is>
          <t>Charged for those calls (INR)</t>
        </is>
      </c>
      <c r="D24" s="2" t="n">
        <v>458.04</v>
      </c>
      <c r="E24" s="6" t="inlineStr">
        <is>
          <t>measured</t>
        </is>
      </c>
      <c r="F24" s="2" t="n">
        <v>301</v>
      </c>
      <c r="G24" s="2" t="inlineStr">
        <is>
          <t>finance/costing-2026-10/raw/usage_calls.json totals.charged_paise / 100</t>
        </is>
      </c>
      <c r="H24" s="2" t="inlineStr"/>
    </row>
    <row r="25">
      <c r="A25" s="2" t="inlineStr">
        <is>
          <t>stt_charged_30d</t>
        </is>
      </c>
      <c r="B25" s="2" t="inlineStr">
        <is>
          <t>Voice</t>
        </is>
      </c>
      <c r="C25" s="2" t="inlineStr">
        <is>
          <t>STT charged, last 30 days (INR)</t>
        </is>
      </c>
      <c r="D25" s="2" t="n">
        <v>95.11</v>
      </c>
      <c r="E25" s="6" t="inlineStr">
        <is>
          <t>measured</t>
        </is>
      </c>
      <c r="F25" s="2" t="n">
        <v>301</v>
      </c>
      <c r="G25" s="2" t="inlineStr">
        <is>
          <t>finance/costing-2026-10/raw/usage_spend.json series, stt, 31 Aug to 29 Sep</t>
        </is>
      </c>
      <c r="H25" s="2" t="inlineStr"/>
    </row>
    <row r="26">
      <c r="A26" s="2" t="inlineStr">
        <is>
          <t>tts_charged_30d</t>
        </is>
      </c>
      <c r="B26" s="2" t="inlineStr">
        <is>
          <t>Voice</t>
        </is>
      </c>
      <c r="C26" s="2" t="inlineStr">
        <is>
          <t>TTS charged, last 30 days (INR)</t>
        </is>
      </c>
      <c r="D26" s="2" t="n">
        <v>179.22</v>
      </c>
      <c r="E26" s="6" t="inlineStr">
        <is>
          <t>measured</t>
        </is>
      </c>
      <c r="F26" s="2" t="n">
        <v>301</v>
      </c>
      <c r="G26" s="2" t="inlineStr">
        <is>
          <t>finance/costing-2026-10/raw/usage_spend.json series, tts</t>
        </is>
      </c>
      <c r="H26" s="2" t="inlineStr"/>
    </row>
    <row r="27">
      <c r="A27" s="2" t="inlineStr">
        <is>
          <t>llm_charged_30d</t>
        </is>
      </c>
      <c r="B27" s="2" t="inlineStr">
        <is>
          <t>All</t>
        </is>
      </c>
      <c r="C27" s="2" t="inlineStr">
        <is>
          <t>LLM charged, last 30 days (INR, voice and text together)</t>
        </is>
      </c>
      <c r="D27" s="2" t="n">
        <v>77.12</v>
      </c>
      <c r="E27" s="6" t="inlineStr">
        <is>
          <t>measured</t>
        </is>
      </c>
      <c r="F27" s="2" t="n">
        <v>301</v>
      </c>
      <c r="G27" s="2" t="inlineStr">
        <is>
          <t>finance/costing-2026-10/raw/usage_spend.json series, llm</t>
        </is>
      </c>
      <c r="H27" s="2" t="inlineStr"/>
    </row>
    <row r="28">
      <c r="A28" s="2" t="inlineStr">
        <is>
          <t>markup_stt</t>
        </is>
      </c>
      <c r="B28" s="2" t="inlineStr">
        <is>
          <t>Billing code</t>
        </is>
      </c>
      <c r="C28" s="2" t="inlineStr">
        <is>
          <t>STT markup applied when charging</t>
        </is>
      </c>
      <c r="D28" s="2" t="n">
        <v>1.3</v>
      </c>
      <c r="E28" s="4" t="inlineStr">
        <is>
          <t>code constant</t>
        </is>
      </c>
      <c r="F28" s="2" t="n">
        <v>0</v>
      </c>
      <c r="G28" s="2" t="inlineStr">
        <is>
          <t>api/services/billing/markup.py:568-583 (KAN-54)</t>
        </is>
      </c>
      <c r="H28" s="2" t="inlineStr"/>
    </row>
    <row r="29">
      <c r="A29" s="2" t="inlineStr">
        <is>
          <t>markup_tts</t>
        </is>
      </c>
      <c r="B29" s="2" t="inlineStr">
        <is>
          <t>Billing code</t>
        </is>
      </c>
      <c r="C29" s="2" t="inlineStr">
        <is>
          <t>TTS markup applied when charging</t>
        </is>
      </c>
      <c r="D29" s="2" t="n">
        <v>1.8</v>
      </c>
      <c r="E29" s="4" t="inlineStr">
        <is>
          <t>code constant</t>
        </is>
      </c>
      <c r="F29" s="2" t="n">
        <v>0</v>
      </c>
      <c r="G29" s="2" t="inlineStr">
        <is>
          <t>markup.py:568-583</t>
        </is>
      </c>
      <c r="H29" s="2" t="inlineStr"/>
    </row>
    <row r="30">
      <c r="A30" s="2" t="inlineStr">
        <is>
          <t>markup_llm</t>
        </is>
      </c>
      <c r="B30" s="2" t="inlineStr">
        <is>
          <t>Billing code</t>
        </is>
      </c>
      <c r="C30" s="2" t="inlineStr">
        <is>
          <t>LLM markup applied when charging</t>
        </is>
      </c>
      <c r="D30" s="2" t="n">
        <v>2</v>
      </c>
      <c r="E30" s="4" t="inlineStr">
        <is>
          <t>code constant</t>
        </is>
      </c>
      <c r="F30" s="2" t="n">
        <v>0</v>
      </c>
      <c r="G30" s="2" t="inlineStr">
        <is>
          <t>markup.py:568-583</t>
        </is>
      </c>
      <c r="H30" s="2" t="inlineStr"/>
    </row>
    <row r="31">
      <c r="A31" s="2" t="inlineStr">
        <is>
          <t>turns_per_min</t>
        </is>
      </c>
      <c r="B31" s="2" t="inlineStr">
        <is>
          <t>Voice</t>
        </is>
      </c>
      <c r="C31" s="2" t="inlineStr">
        <is>
          <t>LLM turns per minute of call</t>
        </is>
      </c>
      <c r="D31" s="2" t="n">
        <v>6</v>
      </c>
      <c r="E31" s="4" t="inlineStr">
        <is>
          <t>code constant</t>
        </is>
      </c>
      <c r="F31" s="2" t="n">
        <v>0</v>
      </c>
      <c r="G31" s="2" t="inlineStr">
        <is>
          <t>api/services/billing/realtime_pricing.py:91 seconds_per_turn = 10</t>
        </is>
      </c>
      <c r="H31" s="2" t="inlineStr">
        <is>
          <t>Same shape the code prices realtime calls with.</t>
        </is>
      </c>
    </row>
    <row r="32">
      <c r="A32" s="2" t="inlineStr">
        <is>
          <t>voice_prompt_tokens</t>
        </is>
      </c>
      <c r="B32" s="2" t="inlineStr">
        <is>
          <t>Voice</t>
        </is>
      </c>
      <c r="C32" s="2" t="inlineStr">
        <is>
          <t>Agent system prompt + tools per turn (tokens)</t>
        </is>
      </c>
      <c r="D32" s="2" t="n">
        <v>1800</v>
      </c>
      <c r="E32" s="5" t="inlineStr">
        <is>
          <t>assumption</t>
        </is>
      </c>
      <c r="F32" s="2" t="n">
        <v>0</v>
      </c>
      <c r="G32" s="2" t="inlineStr">
        <is>
          <t>A voice agent carries a shorter prompt and 2-4 tools; not measured</t>
        </is>
      </c>
      <c r="H32" s="2" t="inlineStr"/>
    </row>
    <row r="33">
      <c r="A33" s="2" t="inlineStr">
        <is>
          <t>voice_transcript_tok_per_min</t>
        </is>
      </c>
      <c r="B33" s="2" t="inlineStr">
        <is>
          <t>Voice</t>
        </is>
      </c>
      <c r="C33" s="2" t="inlineStr">
        <is>
          <t>Transcript tokens added per minute of call</t>
        </is>
      </c>
      <c r="D33" s="2" t="n">
        <v>220</v>
      </c>
      <c r="E33" s="5" t="inlineStr">
        <is>
          <t>assumption</t>
        </is>
      </c>
      <c r="F33" s="2" t="n">
        <v>0</v>
      </c>
      <c r="G33" s="2" t="inlineStr">
        <is>
          <t>About 150 spoken words a minute, both sides, at 1.4 tokens a word</t>
        </is>
      </c>
      <c r="H33" s="2" t="inlineStr"/>
    </row>
    <row r="34">
      <c r="A34" s="2" t="inlineStr">
        <is>
          <t>voice_out_tok_per_turn</t>
        </is>
      </c>
      <c r="B34" s="2" t="inlineStr">
        <is>
          <t>Voice</t>
        </is>
      </c>
      <c r="C34" s="2" t="inlineStr">
        <is>
          <t>Output tokens per turn (spoken reply)</t>
        </is>
      </c>
      <c r="D34" s="2" t="n">
        <v>45</v>
      </c>
      <c r="E34" s="5" t="inlineStr">
        <is>
          <t>assumption</t>
        </is>
      </c>
      <c r="F34" s="2" t="n">
        <v>0</v>
      </c>
      <c r="G34" s="2" t="inlineStr">
        <is>
          <t>A 2-3 sentence spoken reply</t>
        </is>
      </c>
      <c r="H34" s="2" t="inlineStr"/>
    </row>
    <row r="35">
      <c r="A35" s="2" t="inlineStr">
        <is>
          <t>tts_cpm</t>
        </is>
      </c>
      <c r="B35" s="2" t="inlineStr">
        <is>
          <t>Voice</t>
        </is>
      </c>
      <c r="C35" s="2" t="inlineStr">
        <is>
          <t>TTS characters per minute of call (base)</t>
        </is>
      </c>
      <c r="D35" s="2" t="n">
        <v>450</v>
      </c>
      <c r="E35" s="5" t="inlineStr">
        <is>
          <t>assumption</t>
        </is>
      </c>
      <c r="F35" s="2" t="n">
        <v>0</v>
      </c>
      <c r="G35" s="2" t="inlineStr">
        <is>
          <t>Agent talks 45% of the time (realtime_pricing.py:95) at about 1,000 chars a minute of speech; the 30-day charged TTS backs out to about 275 (see tts_cpm_measured). Sensitivity runs 350 and 600.</t>
        </is>
      </c>
      <c r="H35" s="2" t="inlineStr"/>
    </row>
    <row r="36">
      <c r="A36" s="2" t="inlineStr">
        <is>
          <t>stt_min_per_call_min</t>
        </is>
      </c>
      <c r="B36" s="2" t="inlineStr">
        <is>
          <t>Voice</t>
        </is>
      </c>
      <c r="C36" s="2" t="inlineStr">
        <is>
          <t>STT minutes billed per call minute</t>
        </is>
      </c>
      <c r="D36" s="2" t="n">
        <v>1</v>
      </c>
      <c r="E36" s="5" t="inlineStr">
        <is>
          <t>assumption</t>
        </is>
      </c>
      <c r="F36" s="2" t="n">
        <v>0</v>
      </c>
      <c r="G36" s="2" t="inlineStr">
        <is>
          <t>Streaming STT runs for the whole call, both silences and speech</t>
        </is>
      </c>
      <c r="H36" s="2" t="inlineStr"/>
    </row>
    <row r="37">
      <c r="A37" s="2" t="inlineStr">
        <is>
          <t>call_len_med_s</t>
        </is>
      </c>
      <c r="B37" s="2" t="inlineStr">
        <is>
          <t>Voice</t>
        </is>
      </c>
      <c r="C37" s="2" t="inlineStr">
        <is>
          <t>Call length, median (seconds)</t>
        </is>
      </c>
      <c r="D37" s="2" t="n">
        <v>24.1</v>
      </c>
      <c r="E37" s="6" t="inlineStr">
        <is>
          <t>measured</t>
        </is>
      </c>
      <c r="F37" s="2" t="n">
        <v>301</v>
      </c>
      <c r="G37" s="2" t="inlineStr">
        <is>
          <t>finance/costing-2026-10/raw/usage_calls.json totals.average_seconds</t>
        </is>
      </c>
      <c r="H37" s="2" t="inlineStr">
        <is>
          <t>237 of 301 calls were under 30 s: demo and test traffic, not a customer's pattern.</t>
        </is>
      </c>
    </row>
    <row r="38">
      <c r="A38" s="2" t="inlineStr">
        <is>
          <t>call_len_ref_s</t>
        </is>
      </c>
      <c r="B38" s="2" t="inlineStr">
        <is>
          <t>Voice</t>
        </is>
      </c>
      <c r="C38" s="2" t="inlineStr">
        <is>
          <t>Reference call length for realtime pricing (seconds)</t>
        </is>
      </c>
      <c r="D38" s="2" t="n">
        <v>180</v>
      </c>
      <c r="E38" s="4" t="inlineStr">
        <is>
          <t>code constant</t>
        </is>
      </c>
      <c r="F38" s="2" t="n">
        <v>0</v>
      </c>
      <c r="G38" s="2" t="inlineStr">
        <is>
          <t>realtime_pricing.py:90 duration_seconds; prompt scenario G is also 3 minutes</t>
        </is>
      </c>
      <c r="H38" s="2" t="inlineStr"/>
    </row>
    <row r="39">
      <c r="A39" s="2" t="inlineStr">
        <is>
          <t>agent_talk_share</t>
        </is>
      </c>
      <c r="B39" s="2" t="inlineStr">
        <is>
          <t>Voice</t>
        </is>
      </c>
      <c r="C39" s="2" t="inlineStr">
        <is>
          <t>Share of the call the agent is speaking</t>
        </is>
      </c>
      <c r="D39" s="2" t="n">
        <v>0.45</v>
      </c>
      <c r="E39" s="4" t="inlineStr">
        <is>
          <t>code constant</t>
        </is>
      </c>
      <c r="F39" s="2" t="n">
        <v>0</v>
      </c>
      <c r="G39" s="2" t="inlineStr">
        <is>
          <t>realtime_pricing.py:95</t>
        </is>
      </c>
      <c r="H39" s="2" t="inlineStr"/>
    </row>
    <row r="40">
      <c r="A40" s="2" t="inlineStr">
        <is>
          <t>caller_talk_share</t>
        </is>
      </c>
      <c r="B40" s="2" t="inlineStr">
        <is>
          <t>Voice</t>
        </is>
      </c>
      <c r="C40" s="2" t="inlineStr">
        <is>
          <t>Share of the call the caller is speaking</t>
        </is>
      </c>
      <c r="D40" s="2" t="n">
        <v>0.3</v>
      </c>
      <c r="E40" s="4" t="inlineStr">
        <is>
          <t>code constant</t>
        </is>
      </c>
      <c r="F40" s="2" t="n">
        <v>0</v>
      </c>
      <c r="G40" s="2" t="inlineStr">
        <is>
          <t>realtime_pricing.py:98</t>
        </is>
      </c>
      <c r="H40" s="2" t="inlineStr"/>
    </row>
    <row r="41">
      <c r="A41" s="2" t="inlineStr">
        <is>
          <t>translate_chars</t>
        </is>
      </c>
      <c r="B41" s="2" t="inlineStr">
        <is>
          <t>Translation</t>
        </is>
      </c>
      <c r="C41" s="2" t="inlineStr">
        <is>
          <t>Characters per translation unit as sold</t>
        </is>
      </c>
      <c r="D41" s="2" t="n">
        <v>100</v>
      </c>
      <c r="E41" s="4" t="inlineStr">
        <is>
          <t>code constant</t>
        </is>
      </c>
      <c r="F41" s="2" t="n">
        <v>0</v>
      </c>
      <c r="G41" s="2" t="inlineStr">
        <is>
          <t>events.py: 1 credit per 100 characters</t>
        </is>
      </c>
      <c r="H41" s="2" t="inlineStr"/>
    </row>
    <row r="42">
      <c r="A42" s="2" t="inlineStr">
        <is>
          <t>script_cpu_s</t>
        </is>
      </c>
      <c r="B42" s="2" t="inlineStr">
        <is>
          <t>Script run</t>
        </is>
      </c>
      <c r="C42" s="2" t="inlineStr">
        <is>
          <t>Sandbox CPU seconds per run</t>
        </is>
      </c>
      <c r="D42" s="2" t="n">
        <v>5</v>
      </c>
      <c r="E42" s="5" t="inlineStr">
        <is>
          <t>assumption</t>
        </is>
      </c>
      <c r="F42" s="2" t="n">
        <v>0</v>
      </c>
      <c r="G42" s="2" t="inlineStr">
        <is>
          <t>python:3.12-slim job; docker-in-docker on the same box</t>
        </is>
      </c>
      <c r="H42" s="2" t="inlineStr"/>
    </row>
    <row r="43">
      <c r="A43" s="2" t="inlineStr">
        <is>
          <t>storage_gb_ws</t>
        </is>
      </c>
      <c r="B43" s="2" t="inlineStr">
        <is>
          <t>Storage</t>
        </is>
      </c>
      <c r="C43" s="2" t="inlineStr">
        <is>
          <t>Storage per active workspace (GB)</t>
        </is>
      </c>
      <c r="D43" s="2" t="n">
        <v>2</v>
      </c>
      <c r="E43" s="5" t="inlineStr">
        <is>
          <t>assumption</t>
        </is>
      </c>
      <c r="F43" s="2" t="n">
        <v>0</v>
      </c>
      <c r="G43" s="2" t="inlineStr">
        <is>
          <t>Recordings at ~1 MB a minute of call, plus KB files; no per-workspace bytes are readable</t>
        </is>
      </c>
      <c r="H43" s="2" t="inlineStr"/>
    </row>
    <row r="44">
      <c r="A44" s="2" t="inlineStr">
        <is>
          <t>web_search_per_tool</t>
        </is>
      </c>
      <c r="B44" s="2" t="inlineStr">
        <is>
          <t>Web search</t>
        </is>
      </c>
      <c r="C44" s="2" t="inlineStr">
        <is>
          <t>Serper queries per search tool call</t>
        </is>
      </c>
      <c r="D44" s="2" t="n">
        <v>1</v>
      </c>
      <c r="E44" s="4" t="inlineStr">
        <is>
          <t>code constant</t>
        </is>
      </c>
      <c r="F44" s="2" t="n">
        <v>0</v>
      </c>
      <c r="G44" s="2" t="inlineStr">
        <is>
          <t>web_tools.py:241-255 records one lookup per call</t>
        </is>
      </c>
      <c r="H44" s="2" t="inlineStr"/>
    </row>
    <row r="45">
      <c r="A45" s="2" t="inlineStr">
        <is>
          <t>hours_month</t>
        </is>
      </c>
      <c r="B45" s="2" t="inlineStr">
        <is>
          <t>Infra</t>
        </is>
      </c>
      <c r="C45" s="2" t="inlineStr">
        <is>
          <t>Hours in a month</t>
        </is>
      </c>
      <c r="D45" s="2" t="n">
        <v>730</v>
      </c>
      <c r="E45" s="5" t="inlineStr">
        <is>
          <t>assumption</t>
        </is>
      </c>
      <c r="F45" s="2" t="n">
        <v>0</v>
      </c>
      <c r="G45" s="2" t="inlineStr">
        <is>
          <t>AWS convention</t>
        </is>
      </c>
      <c r="H45" s="2" t="inlineStr"/>
    </row>
    <row r="46">
      <c r="A46" s="2" t="inlineStr">
        <is>
          <t>ebs_gb</t>
        </is>
      </c>
      <c r="B46" s="2" t="inlineStr">
        <is>
          <t>Infra</t>
        </is>
      </c>
      <c r="C46" s="2" t="inlineStr">
        <is>
          <t>Root volume size (GB)</t>
        </is>
      </c>
      <c r="D46" s="2" t="n">
        <v>145</v>
      </c>
      <c r="E46" s="6" t="inlineStr">
        <is>
          <t>measured</t>
        </is>
      </c>
      <c r="F46" s="2" t="n">
        <v>1</v>
      </c>
      <c r="G46" s="2" t="inlineStr">
        <is>
          <t>scripts/ci_deploy.sh:71 comment: 145G disk</t>
        </is>
      </c>
      <c r="H46" s="2" t="inlineStr"/>
    </row>
    <row r="47">
      <c r="A47" s="2" t="inlineStr">
        <is>
          <t>egress_gb_month</t>
        </is>
      </c>
      <c r="B47" s="2" t="inlineStr">
        <is>
          <t>Infra</t>
        </is>
      </c>
      <c r="C47" s="2" t="inlineStr">
        <is>
          <t>Egress per month (GB)</t>
        </is>
      </c>
      <c r="D47" s="2" t="n">
        <v>200</v>
      </c>
      <c r="E47" s="5" t="inlineStr">
        <is>
          <t>assumption</t>
        </is>
      </c>
      <c r="F47" s="2" t="n">
        <v>0</v>
      </c>
      <c r="G47" s="2" t="inlineStr">
        <is>
          <t>Recordings, UI, TURN relay; no CloudWatch data was available</t>
        </is>
      </c>
      <c r="H47" s="2" t="inlineStr"/>
    </row>
    <row r="48">
      <c r="A48" s="2" t="inlineStr">
        <is>
          <t>bench_note</t>
        </is>
      </c>
      <c r="B48" s="2" t="inlineStr">
        <is>
          <t>Benchmarks</t>
        </is>
      </c>
      <c r="C48" s="2" t="inlineStr">
        <is>
          <t>Controlled benchmark runs executed</t>
        </is>
      </c>
      <c r="D48" s="2" t="n">
        <v>0</v>
      </c>
      <c r="E48" s="6" t="inlineStr">
        <is>
          <t>measured</t>
        </is>
      </c>
      <c r="F48" s="2" t="n">
        <v>0</v>
      </c>
      <c r="G48" s="2" t="inlineStr">
        <is>
          <t>None: no test keys were available in this session and production keys may not be used (ground rules)</t>
        </is>
      </c>
      <c r="H4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2"/>
  <sheetViews>
    <sheetView workbookViewId="0">
      <selection activeCell="A1" sqref="A1"/>
    </sheetView>
  </sheetViews>
  <sheetFormatPr baseColWidth="8" defaultRowHeight="15"/>
  <cols>
    <col width="44" customWidth="1" min="1" max="1"/>
    <col width="13" customWidth="1" min="2" max="2"/>
    <col width="13"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s>
  <sheetData>
    <row r="1">
      <c r="A1" s="7" t="inlineStr">
        <is>
          <t>Levers (base case; the Sensitivity sheet overrides these per scenario)</t>
        </is>
      </c>
    </row>
    <row r="2">
      <c r="A2" t="inlineStr">
        <is>
          <t>INR per USD</t>
        </is>
      </c>
      <c r="B2">
        <f>'Unit prices'!$E$2</f>
        <v/>
      </c>
    </row>
    <row r="3">
      <c r="A3" t="inlineStr">
        <is>
          <t>Model price multiplier</t>
        </is>
      </c>
      <c r="B3" t="n">
        <v>1</v>
      </c>
    </row>
    <row r="4">
      <c r="A4" t="inlineStr">
        <is>
          <t>Prompt-cache hit rate</t>
        </is>
      </c>
      <c r="B4">
        <f>'Measured usage'!$D$9</f>
        <v/>
      </c>
    </row>
    <row r="5">
      <c r="A5" t="inlineStr">
        <is>
          <t>TTS characters per minute</t>
        </is>
      </c>
      <c r="B5">
        <f>'Measured usage'!$D$35</f>
        <v/>
      </c>
    </row>
    <row r="6">
      <c r="A6" t="inlineStr">
        <is>
          <t>Telephony multiplier</t>
        </is>
      </c>
      <c r="B6" t="n">
        <v>1</v>
      </c>
    </row>
    <row r="7">
      <c r="A7" t="inlineStr">
        <is>
          <t>Price multiple on cost (proposed)</t>
        </is>
      </c>
      <c r="B7" t="n">
        <v>3</v>
      </c>
    </row>
    <row r="8">
      <c r="A8" t="inlineStr">
        <is>
          <t>Minimum credits per action (proposed)</t>
        </is>
      </c>
      <c r="B8" t="n">
        <v>0.5</v>
      </c>
    </row>
    <row r="9">
      <c r="A9" t="inlineStr">
        <is>
          <t>1 credit, India (INR)</t>
        </is>
      </c>
      <c r="B9" t="n">
        <v>1</v>
      </c>
    </row>
    <row r="10">
      <c r="A10" t="inlineStr">
        <is>
          <t>1 credit, global (USD)</t>
        </is>
      </c>
      <c r="B10" t="n">
        <v>0.012</v>
      </c>
    </row>
    <row r="11"/>
    <row r="12"/>
    <row r="13">
      <c r="A13" s="1" t="inlineStr">
        <is>
          <t>Activity</t>
        </is>
      </c>
      <c r="B13" s="1" t="inlineStr">
        <is>
          <t>Unit</t>
        </is>
      </c>
      <c r="C13" s="1" t="inlineStr">
        <is>
          <t>Case</t>
        </is>
      </c>
      <c r="D13" s="1" t="inlineStr">
        <is>
          <t>STT (USD)</t>
        </is>
      </c>
      <c r="E13" s="1" t="inlineStr">
        <is>
          <t>LLM (USD)</t>
        </is>
      </c>
      <c r="F13" s="1" t="inlineStr">
        <is>
          <t>TTS (USD)</t>
        </is>
      </c>
      <c r="G13" s="1" t="inlineStr">
        <is>
          <t>Telephony (USD)</t>
        </is>
      </c>
      <c r="H13" s="1" t="inlineStr">
        <is>
          <t>Realtime (USD)</t>
        </is>
      </c>
      <c r="I13" s="1" t="inlineStr">
        <is>
          <t>Tools (USD)</t>
        </is>
      </c>
      <c r="J13" s="1" t="inlineStr">
        <is>
          <t>Embed (USD)</t>
        </is>
      </c>
      <c r="K13" s="1" t="inlineStr">
        <is>
          <t>Meta (USD)</t>
        </is>
      </c>
      <c r="L13" s="1" t="inlineStr">
        <is>
          <t>Data (USD)</t>
        </is>
      </c>
      <c r="M13" s="1" t="inlineStr">
        <is>
          <t>Infra (USD)</t>
        </is>
      </c>
      <c r="N13" s="1" t="inlineStr">
        <is>
          <t>Sarvam (USD)</t>
        </is>
      </c>
      <c r="O13" s="1" t="inlineStr">
        <is>
          <t>Total USD</t>
        </is>
      </c>
      <c r="P13" s="1" t="inlineStr">
        <is>
          <t>Total INR</t>
        </is>
      </c>
      <c r="Q13" s="1" t="inlineStr">
        <is>
          <t>Credits at cost x multiple (min applies)</t>
        </is>
      </c>
      <c r="R13" s="1" t="inlineStr">
        <is>
          <t>Price INR (credits x 1)</t>
        </is>
      </c>
      <c r="S13" s="1" t="inlineStr">
        <is>
          <t>Gross margin</t>
        </is>
      </c>
      <c r="T13" s="1" t="inlineStr">
        <is>
          <t>Below-minimum?</t>
        </is>
      </c>
      <c r="U13" s="1" t="inlineStr">
        <is>
          <t>Margin &lt; 60%?</t>
        </is>
      </c>
    </row>
    <row r="14">
      <c r="A14" t="inlineStr">
        <is>
          <t>1a. Chat message, default model (gpt-4.1-mini)</t>
        </is>
      </c>
      <c r="B14" t="inlineStr">
        <is>
          <t>per message</t>
        </is>
      </c>
      <c r="C14" t="inlineStr">
        <is>
          <t>median</t>
        </is>
      </c>
      <c r="E14">
        <f>'Unit costs'!$B$3*(('Measured usage'!$D$2+'Measured usage'!$D$3+'Measured usage'!$D$4)*((1-'Unit costs'!$B$4)*'Unit prices'!$E$4+'Unit costs'!$B$4*'Unit prices'!$E$5)+'Measured usage'!$D$6*'Unit prices'!$E$6)/1000000</f>
        <v/>
      </c>
      <c r="I14">
        <f>'Measured usage'!$D$8*'Unit prices'!$E$56</f>
        <v/>
      </c>
      <c r="O14">
        <f>SUM(D14:N14)</f>
        <v/>
      </c>
      <c r="P14">
        <f>O14*'Unit costs'!$B$2</f>
        <v/>
      </c>
      <c r="Q14">
        <f>MAX('Unit costs'!$B$8,P14*'Unit costs'!$B$7/'Unit costs'!$B$9)</f>
        <v/>
      </c>
      <c r="R14">
        <f>Q14*'Unit costs'!$B$9</f>
        <v/>
      </c>
      <c r="S14">
        <f>IF(R14&gt;0,1-P14/R14,0)</f>
        <v/>
      </c>
      <c r="T14">
        <f>IF(P14*'Unit costs'!$B$7&lt;'Unit costs'!$B$8*'Unit costs'!$B$9,"yes","")</f>
        <v/>
      </c>
      <c r="U14">
        <f>IF(S14&lt;0.6,"yes","")</f>
        <v/>
      </c>
    </row>
    <row r="15">
      <c r="A15" t="inlineStr">
        <is>
          <t>1a. Chat message, default model (gpt-4.1-mini)</t>
        </is>
      </c>
      <c r="B15" t="inlineStr">
        <is>
          <t>per message</t>
        </is>
      </c>
      <c r="C15" t="inlineStr">
        <is>
          <t>p90</t>
        </is>
      </c>
      <c r="E15">
        <f>'Unit costs'!$B$3*(('Measured usage'!$D$2+'Measured usage'!$D$3+'Measured usage'!$D$5)*((1-'Unit costs'!$B$4)*'Unit prices'!$E$4+'Unit costs'!$B$4*'Unit prices'!$E$5)+'Measured usage'!$D$7*'Unit prices'!$E$6)/1000000</f>
        <v/>
      </c>
      <c r="I15">
        <f>'Measured usage'!$D$8*'Unit prices'!$E$56</f>
        <v/>
      </c>
      <c r="O15">
        <f>SUM(D15:N15)</f>
        <v/>
      </c>
      <c r="P15">
        <f>O15*'Unit costs'!$B$2</f>
        <v/>
      </c>
      <c r="Q15">
        <f>MAX('Unit costs'!$B$8,P15*'Unit costs'!$B$7/'Unit costs'!$B$9)</f>
        <v/>
      </c>
      <c r="R15">
        <f>Q15*'Unit costs'!$B$9</f>
        <v/>
      </c>
      <c r="S15">
        <f>IF(R15&gt;0,1-P15/R15,0)</f>
        <v/>
      </c>
      <c r="T15">
        <f>IF(P15*'Unit costs'!$B$7&lt;'Unit costs'!$B$8*'Unit costs'!$B$9,"yes","")</f>
        <v/>
      </c>
      <c r="U15">
        <f>IF(S15&lt;0.6,"yes","")</f>
        <v/>
      </c>
    </row>
    <row r="16">
      <c r="A16" t="inlineStr">
        <is>
          <t>1b. Chat message, premium model (gpt-5)</t>
        </is>
      </c>
      <c r="B16" t="inlineStr">
        <is>
          <t>per message</t>
        </is>
      </c>
      <c r="C16" t="inlineStr">
        <is>
          <t>median</t>
        </is>
      </c>
      <c r="E16">
        <f>'Unit costs'!$B$3*(('Measured usage'!$D$2+'Measured usage'!$D$3+'Measured usage'!$D$4)*((1-'Unit costs'!$B$4)*'Unit prices'!$E$10+'Unit costs'!$B$4*'Unit prices'!$E$11)+'Measured usage'!$D$6*'Unit prices'!$E$12)/1000000</f>
        <v/>
      </c>
      <c r="I16">
        <f>'Measured usage'!$D$8*'Unit prices'!$E$56</f>
        <v/>
      </c>
      <c r="O16">
        <f>SUM(D16:N16)</f>
        <v/>
      </c>
      <c r="P16">
        <f>O16*'Unit costs'!$B$2</f>
        <v/>
      </c>
      <c r="Q16">
        <f>MAX('Unit costs'!$B$8,P16*'Unit costs'!$B$7/'Unit costs'!$B$9)</f>
        <v/>
      </c>
      <c r="R16">
        <f>Q16*'Unit costs'!$B$9</f>
        <v/>
      </c>
      <c r="S16">
        <f>IF(R16&gt;0,1-P16/R16,0)</f>
        <v/>
      </c>
      <c r="T16">
        <f>IF(P16*'Unit costs'!$B$7&lt;'Unit costs'!$B$8*'Unit costs'!$B$9,"yes","")</f>
        <v/>
      </c>
      <c r="U16">
        <f>IF(S16&lt;0.6,"yes","")</f>
        <v/>
      </c>
    </row>
    <row r="17">
      <c r="A17" t="inlineStr">
        <is>
          <t>1b. Chat message, premium model (gpt-5)</t>
        </is>
      </c>
      <c r="B17" t="inlineStr">
        <is>
          <t>per message</t>
        </is>
      </c>
      <c r="C17" t="inlineStr">
        <is>
          <t>p90</t>
        </is>
      </c>
      <c r="E17">
        <f>'Unit costs'!$B$3*(('Measured usage'!$D$2+'Measured usage'!$D$3+'Measured usage'!$D$5)*((1-'Unit costs'!$B$4)*'Unit prices'!$E$10+'Unit costs'!$B$4*'Unit prices'!$E$11)+'Measured usage'!$D$7*'Unit prices'!$E$12)/1000000</f>
        <v/>
      </c>
      <c r="I17">
        <f>'Measured usage'!$D$8*'Unit prices'!$E$56</f>
        <v/>
      </c>
      <c r="O17">
        <f>SUM(D17:N17)</f>
        <v/>
      </c>
      <c r="P17">
        <f>O17*'Unit costs'!$B$2</f>
        <v/>
      </c>
      <c r="Q17">
        <f>MAX('Unit costs'!$B$8,P17*'Unit costs'!$B$7/'Unit costs'!$B$9)</f>
        <v/>
      </c>
      <c r="R17">
        <f>Q17*'Unit costs'!$B$9</f>
        <v/>
      </c>
      <c r="S17">
        <f>IF(R17&gt;0,1-P17/R17,0)</f>
        <v/>
      </c>
      <c r="T17">
        <f>IF(P17*'Unit costs'!$B$7&lt;'Unit costs'!$B$8*'Unit costs'!$B$9,"yes","")</f>
        <v/>
      </c>
      <c r="U17">
        <f>IF(S17&lt;0.6,"yes","")</f>
        <v/>
      </c>
    </row>
    <row r="18">
      <c r="A18" t="inlineStr">
        <is>
          <t>1c. Chat message, dearest catalogue model (claude-opus-5)</t>
        </is>
      </c>
      <c r="B18" t="inlineStr">
        <is>
          <t>per message</t>
        </is>
      </c>
      <c r="C18" t="inlineStr">
        <is>
          <t>median</t>
        </is>
      </c>
      <c r="E18">
        <f>'Unit costs'!$B$3*(('Measured usage'!$D$2+'Measured usage'!$D$3+'Measured usage'!$D$4)*((1-'Unit costs'!$B$4)*'Unit prices'!$E$19+'Unit costs'!$B$4*'Unit prices'!$E$20)+'Measured usage'!$D$6*'Unit prices'!$E$21)/1000000</f>
        <v/>
      </c>
      <c r="I18">
        <f>'Measured usage'!$D$8*'Unit prices'!$E$56</f>
        <v/>
      </c>
      <c r="O18">
        <f>SUM(D18:N18)</f>
        <v/>
      </c>
      <c r="P18">
        <f>O18*'Unit costs'!$B$2</f>
        <v/>
      </c>
      <c r="Q18">
        <f>MAX('Unit costs'!$B$8,P18*'Unit costs'!$B$7/'Unit costs'!$B$9)</f>
        <v/>
      </c>
      <c r="R18">
        <f>Q18*'Unit costs'!$B$9</f>
        <v/>
      </c>
      <c r="S18">
        <f>IF(R18&gt;0,1-P18/R18,0)</f>
        <v/>
      </c>
      <c r="T18">
        <f>IF(P18*'Unit costs'!$B$7&lt;'Unit costs'!$B$8*'Unit costs'!$B$9,"yes","")</f>
        <v/>
      </c>
      <c r="U18">
        <f>IF(S18&lt;0.6,"yes","")</f>
        <v/>
      </c>
    </row>
    <row r="19">
      <c r="A19" t="inlineStr">
        <is>
          <t>1c. Chat message, dearest catalogue model (claude-opus-5)</t>
        </is>
      </c>
      <c r="B19" t="inlineStr">
        <is>
          <t>per message</t>
        </is>
      </c>
      <c r="C19" t="inlineStr">
        <is>
          <t>p90</t>
        </is>
      </c>
      <c r="E19">
        <f>'Unit costs'!$B$3*(('Measured usage'!$D$2+'Measured usage'!$D$3+'Measured usage'!$D$5)*((1-'Unit costs'!$B$4)*'Unit prices'!$E$19+'Unit costs'!$B$4*'Unit prices'!$E$20)+'Measured usage'!$D$7*'Unit prices'!$E$21)/1000000</f>
        <v/>
      </c>
      <c r="I19">
        <f>'Measured usage'!$D$8*'Unit prices'!$E$56</f>
        <v/>
      </c>
      <c r="O19">
        <f>SUM(D19:N19)</f>
        <v/>
      </c>
      <c r="P19">
        <f>O19*'Unit costs'!$B$2</f>
        <v/>
      </c>
      <c r="Q19">
        <f>MAX('Unit costs'!$B$8,P19*'Unit costs'!$B$7/'Unit costs'!$B$9)</f>
        <v/>
      </c>
      <c r="R19">
        <f>Q19*'Unit costs'!$B$9</f>
        <v/>
      </c>
      <c r="S19">
        <f>IF(R19&gt;0,1-P19/R19,0)</f>
        <v/>
      </c>
      <c r="T19">
        <f>IF(P19*'Unit costs'!$B$7&lt;'Unit costs'!$B$8*'Unit costs'!$B$9,"yes","")</f>
        <v/>
      </c>
      <c r="U19">
        <f>IF(S19&lt;0.6,"yes","")</f>
        <v/>
      </c>
    </row>
    <row r="20">
      <c r="A20" t="inlineStr">
        <is>
          <t>1d. Chat message, cheapest catalogue model (gpt-5-nano)</t>
        </is>
      </c>
      <c r="B20" t="inlineStr">
        <is>
          <t>per message</t>
        </is>
      </c>
      <c r="C20" t="inlineStr">
        <is>
          <t>median</t>
        </is>
      </c>
      <c r="E20">
        <f>'Unit costs'!$B$3*(('Measured usage'!$D$2+'Measured usage'!$D$3+'Measured usage'!$D$4)*((1-'Unit costs'!$B$4)*'Unit prices'!$E$13+'Unit costs'!$B$4*'Unit prices'!$E$14)+'Measured usage'!$D$6*'Unit prices'!$E$15)/1000000</f>
        <v/>
      </c>
      <c r="I20">
        <f>'Measured usage'!$D$8*'Unit prices'!$E$56</f>
        <v/>
      </c>
      <c r="O20">
        <f>SUM(D20:N20)</f>
        <v/>
      </c>
      <c r="P20">
        <f>O20*'Unit costs'!$B$2</f>
        <v/>
      </c>
      <c r="Q20">
        <f>MAX('Unit costs'!$B$8,P20*'Unit costs'!$B$7/'Unit costs'!$B$9)</f>
        <v/>
      </c>
      <c r="R20">
        <f>Q20*'Unit costs'!$B$9</f>
        <v/>
      </c>
      <c r="S20">
        <f>IF(R20&gt;0,1-P20/R20,0)</f>
        <v/>
      </c>
      <c r="T20">
        <f>IF(P20*'Unit costs'!$B$7&lt;'Unit costs'!$B$8*'Unit costs'!$B$9,"yes","")</f>
        <v/>
      </c>
      <c r="U20">
        <f>IF(S20&lt;0.6,"yes","")</f>
        <v/>
      </c>
    </row>
    <row r="21">
      <c r="A21" t="inlineStr">
        <is>
          <t>1d. Chat message, cheapest catalogue model (gpt-5-nano)</t>
        </is>
      </c>
      <c r="B21" t="inlineStr">
        <is>
          <t>per message</t>
        </is>
      </c>
      <c r="C21" t="inlineStr">
        <is>
          <t>p90</t>
        </is>
      </c>
      <c r="E21">
        <f>'Unit costs'!$B$3*(('Measured usage'!$D$2+'Measured usage'!$D$3+'Measured usage'!$D$5)*((1-'Unit costs'!$B$4)*'Unit prices'!$E$13+'Unit costs'!$B$4*'Unit prices'!$E$14)+'Measured usage'!$D$7*'Unit prices'!$E$15)/1000000</f>
        <v/>
      </c>
      <c r="I21">
        <f>'Measured usage'!$D$8*'Unit prices'!$E$56</f>
        <v/>
      </c>
      <c r="O21">
        <f>SUM(D21:N21)</f>
        <v/>
      </c>
      <c r="P21">
        <f>O21*'Unit costs'!$B$2</f>
        <v/>
      </c>
      <c r="Q21">
        <f>MAX('Unit costs'!$B$8,P21*'Unit costs'!$B$7/'Unit costs'!$B$9)</f>
        <v/>
      </c>
      <c r="R21">
        <f>Q21*'Unit costs'!$B$9</f>
        <v/>
      </c>
      <c r="S21">
        <f>IF(R21&gt;0,1-P21/R21,0)</f>
        <v/>
      </c>
      <c r="T21">
        <f>IF(P21*'Unit costs'!$B$7&lt;'Unit costs'!$B$8*'Unit costs'!$B$9,"yes","")</f>
        <v/>
      </c>
      <c r="U21">
        <f>IF(S21&lt;0.6,"yes","")</f>
        <v/>
      </c>
    </row>
    <row r="22">
      <c r="A22" t="inlineStr">
        <is>
          <t>2. Agent-building message (claude-sonnet-5)</t>
        </is>
      </c>
      <c r="B22" t="inlineStr">
        <is>
          <t>per message</t>
        </is>
      </c>
      <c r="C22" t="inlineStr">
        <is>
          <t>median</t>
        </is>
      </c>
      <c r="E22">
        <f>'Unit costs'!$B$3*('Measured usage'!$D$10*((1-'Unit costs'!$B$4)*'Unit prices'!$E$16+'Unit costs'!$B$4*'Unit prices'!$E$17)+'Measured usage'!$D$11*'Unit prices'!$E$18)/1000000</f>
        <v/>
      </c>
      <c r="O22">
        <f>SUM(D22:N22)</f>
        <v/>
      </c>
      <c r="P22">
        <f>O22*'Unit costs'!$B$2</f>
        <v/>
      </c>
      <c r="Q22">
        <f>MAX('Unit costs'!$B$8,P22*'Unit costs'!$B$7/'Unit costs'!$B$9)</f>
        <v/>
      </c>
      <c r="R22">
        <f>Q22*'Unit costs'!$B$9</f>
        <v/>
      </c>
      <c r="S22">
        <f>IF(R22&gt;0,1-P22/R22,0)</f>
        <v/>
      </c>
      <c r="T22">
        <f>IF(P22*'Unit costs'!$B$7&lt;'Unit costs'!$B$8*'Unit costs'!$B$9,"yes","")</f>
        <v/>
      </c>
      <c r="U22">
        <f>IF(S22&lt;0.6,"yes","")</f>
        <v/>
      </c>
    </row>
    <row r="23">
      <c r="A23" t="inlineStr">
        <is>
          <t>2. Agent-building message (claude-sonnet-5)</t>
        </is>
      </c>
      <c r="B23" t="inlineStr">
        <is>
          <t>per message</t>
        </is>
      </c>
      <c r="C23" t="inlineStr">
        <is>
          <t>p90</t>
        </is>
      </c>
      <c r="E23">
        <f>'Unit costs'!$B$3*(2*'Measured usage'!$D$10*((1-'Unit costs'!$B$4)*'Unit prices'!$E$16+'Unit costs'!$B$4*'Unit prices'!$E$17)+2*'Measured usage'!$D$11*'Unit prices'!$E$18)/1000000</f>
        <v/>
      </c>
      <c r="O23">
        <f>SUM(D23:N23)</f>
        <v/>
      </c>
      <c r="P23">
        <f>O23*'Unit costs'!$B$2</f>
        <v/>
      </c>
      <c r="Q23">
        <f>MAX('Unit costs'!$B$8,P23*'Unit costs'!$B$7/'Unit costs'!$B$9)</f>
        <v/>
      </c>
      <c r="R23">
        <f>Q23*'Unit costs'!$B$9</f>
        <v/>
      </c>
      <c r="S23">
        <f>IF(R23&gt;0,1-P23/R23,0)</f>
        <v/>
      </c>
      <c r="T23">
        <f>IF(P23*'Unit costs'!$B$7&lt;'Unit costs'!$B$8*'Unit costs'!$B$9,"yes","")</f>
        <v/>
      </c>
      <c r="U23">
        <f>IF(S23&lt;0.6,"yes","")</f>
        <v/>
      </c>
    </row>
    <row r="24">
      <c r="A24" t="inlineStr">
        <is>
          <t>3a. Task run (3 LLM turns + 2 tool calls, gpt-4.1-mini)</t>
        </is>
      </c>
      <c r="B24" t="inlineStr">
        <is>
          <t>per run</t>
        </is>
      </c>
      <c r="C24" t="inlineStr">
        <is>
          <t>median</t>
        </is>
      </c>
      <c r="E24">
        <f>'Measured usage'!$D$12*'Unit costs'!$B$3*(('Measured usage'!$D$2+'Measured usage'!$D$3+'Measured usage'!$D$4)*((1-'Unit costs'!$B$4)*'Unit prices'!$E$4+'Unit costs'!$B$4*'Unit prices'!$E$5)+'Measured usage'!$D$6*'Unit prices'!$E$6)/1000000</f>
        <v/>
      </c>
      <c r="I24">
        <f>'Measured usage'!$D$13*'Unit prices'!$E$56</f>
        <v/>
      </c>
      <c r="O24">
        <f>SUM(D24:N24)</f>
        <v/>
      </c>
      <c r="P24">
        <f>O24*'Unit costs'!$B$2</f>
        <v/>
      </c>
      <c r="Q24">
        <f>MAX('Unit costs'!$B$8,P24*'Unit costs'!$B$7/'Unit costs'!$B$9)</f>
        <v/>
      </c>
      <c r="R24">
        <f>Q24*'Unit costs'!$B$9</f>
        <v/>
      </c>
      <c r="S24">
        <f>IF(R24&gt;0,1-P24/R24,0)</f>
        <v/>
      </c>
      <c r="T24">
        <f>IF(P24*'Unit costs'!$B$7&lt;'Unit costs'!$B$8*'Unit costs'!$B$9,"yes","")</f>
        <v/>
      </c>
      <c r="U24">
        <f>IF(S24&lt;0.6,"yes","")</f>
        <v/>
      </c>
    </row>
    <row r="25">
      <c r="A25" t="inlineStr">
        <is>
          <t>3a. Task run (3 LLM turns + 2 tool calls, gpt-4.1-mini)</t>
        </is>
      </c>
      <c r="B25" t="inlineStr">
        <is>
          <t>per run</t>
        </is>
      </c>
      <c r="C25" t="inlineStr">
        <is>
          <t>p90</t>
        </is>
      </c>
      <c r="E25">
        <f>2*'Measured usage'!$D$12*'Unit costs'!$B$3*(('Measured usage'!$D$2+'Measured usage'!$D$3+'Measured usage'!$D$5)*((1-'Unit costs'!$B$4)*'Unit prices'!$E$4+'Unit costs'!$B$4*'Unit prices'!$E$5)+'Measured usage'!$D$7*'Unit prices'!$E$6)/1000000</f>
        <v/>
      </c>
      <c r="I25">
        <f>2*'Measured usage'!$D$13*'Unit prices'!$E$56</f>
        <v/>
      </c>
      <c r="O25">
        <f>SUM(D25:N25)</f>
        <v/>
      </c>
      <c r="P25">
        <f>O25*'Unit costs'!$B$2</f>
        <v/>
      </c>
      <c r="Q25">
        <f>MAX('Unit costs'!$B$8,P25*'Unit costs'!$B$7/'Unit costs'!$B$9)</f>
        <v/>
      </c>
      <c r="R25">
        <f>Q25*'Unit costs'!$B$9</f>
        <v/>
      </c>
      <c r="S25">
        <f>IF(R25&gt;0,1-P25/R25,0)</f>
        <v/>
      </c>
      <c r="T25">
        <f>IF(P25*'Unit costs'!$B$7&lt;'Unit costs'!$B$8*'Unit costs'!$B$9,"yes","")</f>
        <v/>
      </c>
      <c r="U25">
        <f>IF(S25&lt;0.6,"yes","")</f>
        <v/>
      </c>
    </row>
    <row r="26">
      <c r="A26" t="inlineStr">
        <is>
          <t>3b. Routine run (1 turn + 1 tool call, gpt-5-nano as run today)</t>
        </is>
      </c>
      <c r="B26" t="inlineStr">
        <is>
          <t>per run</t>
        </is>
      </c>
      <c r="C26" t="inlineStr">
        <is>
          <t>median</t>
        </is>
      </c>
      <c r="E26">
        <f>'Measured usage'!$D$14*'Unit costs'!$B$3*(('Measured usage'!$D$2+'Measured usage'!$D$3+'Measured usage'!$D$4)*((1-'Unit costs'!$B$4)*'Unit prices'!$E$13+'Unit costs'!$B$4*'Unit prices'!$E$14)+'Measured usage'!$D$6*'Unit prices'!$E$15)/1000000</f>
        <v/>
      </c>
      <c r="I26">
        <f>'Measured usage'!$D$15*'Unit prices'!$E$56</f>
        <v/>
      </c>
      <c r="O26">
        <f>SUM(D26:N26)</f>
        <v/>
      </c>
      <c r="P26">
        <f>O26*'Unit costs'!$B$2</f>
        <v/>
      </c>
      <c r="Q26">
        <f>MAX('Unit costs'!$B$8,P26*'Unit costs'!$B$7/'Unit costs'!$B$9)</f>
        <v/>
      </c>
      <c r="R26">
        <f>Q26*'Unit costs'!$B$9</f>
        <v/>
      </c>
      <c r="S26">
        <f>IF(R26&gt;0,1-P26/R26,0)</f>
        <v/>
      </c>
      <c r="T26">
        <f>IF(P26*'Unit costs'!$B$7&lt;'Unit costs'!$B$8*'Unit costs'!$B$9,"yes","")</f>
        <v/>
      </c>
      <c r="U26">
        <f>IF(S26&lt;0.6,"yes","")</f>
        <v/>
      </c>
    </row>
    <row r="27">
      <c r="A27" t="inlineStr">
        <is>
          <t>3b. Routine run (1 turn + 1 tool call, gpt-5-nano as run today)</t>
        </is>
      </c>
      <c r="B27" t="inlineStr">
        <is>
          <t>per run</t>
        </is>
      </c>
      <c r="C27" t="inlineStr">
        <is>
          <t>p90</t>
        </is>
      </c>
      <c r="E27">
        <f>'Measured usage'!$D$14*'Unit costs'!$B$3*(('Measured usage'!$D$2+'Measured usage'!$D$3+'Measured usage'!$D$5)*((1-'Unit costs'!$B$4)*'Unit prices'!$E$4+'Unit costs'!$B$4*'Unit prices'!$E$5)+'Measured usage'!$D$7*'Unit prices'!$E$6)/1000000</f>
        <v/>
      </c>
      <c r="I27">
        <f>'Measured usage'!$D$15*'Unit prices'!$E$56</f>
        <v/>
      </c>
      <c r="O27">
        <f>SUM(D27:N27)</f>
        <v/>
      </c>
      <c r="P27">
        <f>O27*'Unit costs'!$B$2</f>
        <v/>
      </c>
      <c r="Q27">
        <f>MAX('Unit costs'!$B$8,P27*'Unit costs'!$B$7/'Unit costs'!$B$9)</f>
        <v/>
      </c>
      <c r="R27">
        <f>Q27*'Unit costs'!$B$9</f>
        <v/>
      </c>
      <c r="S27">
        <f>IF(R27&gt;0,1-P27/R27,0)</f>
        <v/>
      </c>
      <c r="T27">
        <f>IF(P27*'Unit costs'!$B$7&lt;'Unit costs'!$B$8*'Unit costs'!$B$9,"yes","")</f>
        <v/>
      </c>
      <c r="U27">
        <f>IF(S27&lt;0.6,"yes","")</f>
        <v/>
      </c>
    </row>
    <row r="28">
      <c r="A28" t="inlineStr">
        <is>
          <t>3c. Trigger run (1 turn, gpt-4.1-mini)</t>
        </is>
      </c>
      <c r="B28" t="inlineStr">
        <is>
          <t>per run</t>
        </is>
      </c>
      <c r="C28" t="inlineStr">
        <is>
          <t>median</t>
        </is>
      </c>
      <c r="E28">
        <f>'Unit costs'!$B$3*(('Measured usage'!$D$2+'Measured usage'!$D$3+'Measured usage'!$D$4)*((1-'Unit costs'!$B$4)*'Unit prices'!$E$4+'Unit costs'!$B$4*'Unit prices'!$E$5)+'Measured usage'!$D$6*'Unit prices'!$E$6)/1000000</f>
        <v/>
      </c>
      <c r="O28">
        <f>SUM(D28:N28)</f>
        <v/>
      </c>
      <c r="P28">
        <f>O28*'Unit costs'!$B$2</f>
        <v/>
      </c>
      <c r="Q28">
        <f>MAX('Unit costs'!$B$8,P28*'Unit costs'!$B$7/'Unit costs'!$B$9)</f>
        <v/>
      </c>
      <c r="R28">
        <f>Q28*'Unit costs'!$B$9</f>
        <v/>
      </c>
      <c r="S28">
        <f>IF(R28&gt;0,1-P28/R28,0)</f>
        <v/>
      </c>
      <c r="T28">
        <f>IF(P28*'Unit costs'!$B$7&lt;'Unit costs'!$B$8*'Unit costs'!$B$9,"yes","")</f>
        <v/>
      </c>
      <c r="U28">
        <f>IF(S28&lt;0.6,"yes","")</f>
        <v/>
      </c>
    </row>
    <row r="29">
      <c r="A29" t="inlineStr">
        <is>
          <t>3c. Trigger run (1 turn, gpt-4.1-mini)</t>
        </is>
      </c>
      <c r="B29" t="inlineStr">
        <is>
          <t>per run</t>
        </is>
      </c>
      <c r="C29" t="inlineStr">
        <is>
          <t>p90</t>
        </is>
      </c>
      <c r="E29">
        <f>'Unit costs'!$B$3*(('Measured usage'!$D$2+'Measured usage'!$D$3+'Measured usage'!$D$5)*((1-'Unit costs'!$B$4)*'Unit prices'!$E$4+'Unit costs'!$B$4*'Unit prices'!$E$5)+'Measured usage'!$D$7*'Unit prices'!$E$6)/1000000</f>
        <v/>
      </c>
      <c r="O29">
        <f>SUM(D29:N29)</f>
        <v/>
      </c>
      <c r="P29">
        <f>O29*'Unit costs'!$B$2</f>
        <v/>
      </c>
      <c r="Q29">
        <f>MAX('Unit costs'!$B$8,P29*'Unit costs'!$B$7/'Unit costs'!$B$9)</f>
        <v/>
      </c>
      <c r="R29">
        <f>Q29*'Unit costs'!$B$9</f>
        <v/>
      </c>
      <c r="S29">
        <f>IF(R29&gt;0,1-P29/R29,0)</f>
        <v/>
      </c>
      <c r="T29">
        <f>IF(P29*'Unit costs'!$B$7&lt;'Unit costs'!$B$8*'Unit costs'!$B$9,"yes","")</f>
        <v/>
      </c>
      <c r="U29">
        <f>IF(S29&lt;0.6,"yes","")</f>
        <v/>
      </c>
    </row>
    <row r="30">
      <c r="A30" t="inlineStr">
        <is>
          <t>4a. Tool call, ordinary connector (Composio)</t>
        </is>
      </c>
      <c r="B30" t="inlineStr">
        <is>
          <t>per call</t>
        </is>
      </c>
      <c r="C30" t="inlineStr">
        <is>
          <t>median</t>
        </is>
      </c>
      <c r="I30">
        <f>1*'Unit prices'!$E$56</f>
        <v/>
      </c>
      <c r="O30">
        <f>SUM(D30:N30)</f>
        <v/>
      </c>
      <c r="P30">
        <f>O30*'Unit costs'!$B$2</f>
        <v/>
      </c>
      <c r="Q30">
        <f>MAX('Unit costs'!$B$8,P30*'Unit costs'!$B$7/'Unit costs'!$B$9)</f>
        <v/>
      </c>
      <c r="R30">
        <f>Q30*'Unit costs'!$B$9</f>
        <v/>
      </c>
      <c r="S30">
        <f>IF(R30&gt;0,1-P30/R30,0)</f>
        <v/>
      </c>
      <c r="T30">
        <f>IF(P30*'Unit costs'!$B$7&lt;'Unit costs'!$B$8*'Unit costs'!$B$9,"yes","")</f>
        <v/>
      </c>
      <c r="U30">
        <f>IF(S30&lt;0.6,"yes","")</f>
        <v/>
      </c>
    </row>
    <row r="31">
      <c r="A31" t="inlineStr">
        <is>
          <t>4a. Tool call, ordinary connector (Composio)</t>
        </is>
      </c>
      <c r="B31" t="inlineStr">
        <is>
          <t>per call</t>
        </is>
      </c>
      <c r="C31" t="inlineStr">
        <is>
          <t>p90</t>
        </is>
      </c>
      <c r="I31">
        <f>1*'Unit prices'!$E$56</f>
        <v/>
      </c>
      <c r="O31">
        <f>SUM(D31:N31)</f>
        <v/>
      </c>
      <c r="P31">
        <f>O31*'Unit costs'!$B$2</f>
        <v/>
      </c>
      <c r="Q31">
        <f>MAX('Unit costs'!$B$8,P31*'Unit costs'!$B$7/'Unit costs'!$B$9)</f>
        <v/>
      </c>
      <c r="R31">
        <f>Q31*'Unit costs'!$B$9</f>
        <v/>
      </c>
      <c r="S31">
        <f>IF(R31&gt;0,1-P31/R31,0)</f>
        <v/>
      </c>
      <c r="T31">
        <f>IF(P31*'Unit costs'!$B$7&lt;'Unit costs'!$B$8*'Unit costs'!$B$9,"yes","")</f>
        <v/>
      </c>
      <c r="U31">
        <f>IF(S31&lt;0.6,"yes","")</f>
        <v/>
      </c>
    </row>
    <row r="32">
      <c r="A32" t="inlineStr">
        <is>
          <t>4b. Tool call, premium connector (Composio; same vendor cost)</t>
        </is>
      </c>
      <c r="B32" t="inlineStr">
        <is>
          <t>per call</t>
        </is>
      </c>
      <c r="C32" t="inlineStr">
        <is>
          <t>median</t>
        </is>
      </c>
      <c r="I32">
        <f>1*'Unit prices'!$E$56</f>
        <v/>
      </c>
      <c r="O32">
        <f>SUM(D32:N32)</f>
        <v/>
      </c>
      <c r="P32">
        <f>O32*'Unit costs'!$B$2</f>
        <v/>
      </c>
      <c r="Q32">
        <f>MAX('Unit costs'!$B$8,P32*'Unit costs'!$B$7/'Unit costs'!$B$9)</f>
        <v/>
      </c>
      <c r="R32">
        <f>Q32*'Unit costs'!$B$9</f>
        <v/>
      </c>
      <c r="S32">
        <f>IF(R32&gt;0,1-P32/R32,0)</f>
        <v/>
      </c>
      <c r="T32">
        <f>IF(P32*'Unit costs'!$B$7&lt;'Unit costs'!$B$8*'Unit costs'!$B$9,"yes","")</f>
        <v/>
      </c>
      <c r="U32">
        <f>IF(S32&lt;0.6,"yes","")</f>
        <v/>
      </c>
    </row>
    <row r="33">
      <c r="A33" t="inlineStr">
        <is>
          <t>4b. Tool call, premium connector (Composio; same vendor cost)</t>
        </is>
      </c>
      <c r="B33" t="inlineStr">
        <is>
          <t>per call</t>
        </is>
      </c>
      <c r="C33" t="inlineStr">
        <is>
          <t>p90</t>
        </is>
      </c>
      <c r="I33">
        <f>1*'Unit prices'!$E$56</f>
        <v/>
      </c>
      <c r="O33">
        <f>SUM(D33:N33)</f>
        <v/>
      </c>
      <c r="P33">
        <f>O33*'Unit costs'!$B$2</f>
        <v/>
      </c>
      <c r="Q33">
        <f>MAX('Unit costs'!$B$8,P33*'Unit costs'!$B$7/'Unit costs'!$B$9)</f>
        <v/>
      </c>
      <c r="R33">
        <f>Q33*'Unit costs'!$B$9</f>
        <v/>
      </c>
      <c r="S33">
        <f>IF(R33&gt;0,1-P33/R33,0)</f>
        <v/>
      </c>
      <c r="T33">
        <f>IF(P33*'Unit costs'!$B$7&lt;'Unit costs'!$B$8*'Unit costs'!$B$9,"yes","")</f>
        <v/>
      </c>
      <c r="U33">
        <f>IF(S33&lt;0.6,"yes","")</f>
        <v/>
      </c>
    </row>
    <row r="34">
      <c r="A34" t="inlineStr">
        <is>
          <t>5a. Knowledge ingest, 10-page typed PDF (parse local + embed)</t>
        </is>
      </c>
      <c r="B34" t="inlineStr">
        <is>
          <t>per document</t>
        </is>
      </c>
      <c r="C34" t="inlineStr">
        <is>
          <t>median</t>
        </is>
      </c>
      <c r="J34">
        <f>'Unit costs'!$B$3*('Measured usage'!$D$17*'Measured usage'!$D$18*'Measured usage'!$D$19)*'Unit prices'!$E$28/1000000</f>
        <v/>
      </c>
      <c r="O34">
        <f>SUM(D34:N34)</f>
        <v/>
      </c>
      <c r="P34">
        <f>O34*'Unit costs'!$B$2</f>
        <v/>
      </c>
      <c r="Q34">
        <f>MAX('Unit costs'!$B$8,P34*'Unit costs'!$B$7/'Unit costs'!$B$9)</f>
        <v/>
      </c>
      <c r="R34">
        <f>Q34*'Unit costs'!$B$9</f>
        <v/>
      </c>
      <c r="S34">
        <f>IF(R34&gt;0,1-P34/R34,0)</f>
        <v/>
      </c>
      <c r="T34">
        <f>IF(P34*'Unit costs'!$B$7&lt;'Unit costs'!$B$8*'Unit costs'!$B$9,"yes","")</f>
        <v/>
      </c>
      <c r="U34">
        <f>IF(S34&lt;0.6,"yes","")</f>
        <v/>
      </c>
    </row>
    <row r="35">
      <c r="A35" t="inlineStr">
        <is>
          <t>5a. Knowledge ingest, 10-page typed PDF (parse local + embed)</t>
        </is>
      </c>
      <c r="B35" t="inlineStr">
        <is>
          <t>per document</t>
        </is>
      </c>
      <c r="C35" t="inlineStr">
        <is>
          <t>p90</t>
        </is>
      </c>
      <c r="J35">
        <f>'Unit costs'!$B$3*5*('Measured usage'!$D$17*'Measured usage'!$D$18*'Measured usage'!$D$19)*'Unit prices'!$E$28/1000000</f>
        <v/>
      </c>
      <c r="O35">
        <f>SUM(D35:N35)</f>
        <v/>
      </c>
      <c r="P35">
        <f>O35*'Unit costs'!$B$2</f>
        <v/>
      </c>
      <c r="Q35">
        <f>MAX('Unit costs'!$B$8,P35*'Unit costs'!$B$7/'Unit costs'!$B$9)</f>
        <v/>
      </c>
      <c r="R35">
        <f>Q35*'Unit costs'!$B$9</f>
        <v/>
      </c>
      <c r="S35">
        <f>IF(R35&gt;0,1-P35/R35,0)</f>
        <v/>
      </c>
      <c r="T35">
        <f>IF(P35*'Unit costs'!$B$7&lt;'Unit costs'!$B$8*'Unit costs'!$B$9,"yes","")</f>
        <v/>
      </c>
      <c r="U35">
        <f>IF(S35&lt;0.6,"yes","")</f>
        <v/>
      </c>
    </row>
    <row r="36">
      <c r="A36" t="inlineStr">
        <is>
          <t>5b. Knowledge answer (query embed + retrieval + reply, gpt-4.1-mini)</t>
        </is>
      </c>
      <c r="B36" t="inlineStr">
        <is>
          <t>per answer</t>
        </is>
      </c>
      <c r="C36" t="inlineStr">
        <is>
          <t>median</t>
        </is>
      </c>
      <c r="E36">
        <f>'Unit costs'!$B$3*(('Measured usage'!$D$2+'Measured usage'!$D$3+'Measured usage'!$D$4+'Measured usage'!$D$20)*((1-'Unit costs'!$B$4)*'Unit prices'!$E$4+'Unit costs'!$B$4*'Unit prices'!$E$5)+'Measured usage'!$D$6*'Unit prices'!$E$6)/1000000</f>
        <v/>
      </c>
      <c r="J36">
        <f>'Measured usage'!$D$21*'Unit prices'!$E$28/1000000</f>
        <v/>
      </c>
      <c r="O36">
        <f>SUM(D36:N36)</f>
        <v/>
      </c>
      <c r="P36">
        <f>O36*'Unit costs'!$B$2</f>
        <v/>
      </c>
      <c r="Q36">
        <f>MAX('Unit costs'!$B$8,P36*'Unit costs'!$B$7/'Unit costs'!$B$9)</f>
        <v/>
      </c>
      <c r="R36">
        <f>Q36*'Unit costs'!$B$9</f>
        <v/>
      </c>
      <c r="S36">
        <f>IF(R36&gt;0,1-P36/R36,0)</f>
        <v/>
      </c>
      <c r="T36">
        <f>IF(P36*'Unit costs'!$B$7&lt;'Unit costs'!$B$8*'Unit costs'!$B$9,"yes","")</f>
        <v/>
      </c>
      <c r="U36">
        <f>IF(S36&lt;0.6,"yes","")</f>
        <v/>
      </c>
    </row>
    <row r="37">
      <c r="A37" t="inlineStr">
        <is>
          <t>5b. Knowledge answer (query embed + retrieval + reply, gpt-4.1-mini)</t>
        </is>
      </c>
      <c r="B37" t="inlineStr">
        <is>
          <t>per answer</t>
        </is>
      </c>
      <c r="C37" t="inlineStr">
        <is>
          <t>p90</t>
        </is>
      </c>
      <c r="E37">
        <f>'Unit costs'!$B$3*(('Measured usage'!$D$2+'Measured usage'!$D$3+'Measured usage'!$D$5+2*'Measured usage'!$D$20)*((1-'Unit costs'!$B$4)*'Unit prices'!$E$4+'Unit costs'!$B$4*'Unit prices'!$E$5)+'Measured usage'!$D$7*'Unit prices'!$E$6)/1000000</f>
        <v/>
      </c>
      <c r="J37">
        <f>'Measured usage'!$D$21*'Unit prices'!$E$28/1000000</f>
        <v/>
      </c>
      <c r="O37">
        <f>SUM(D37:N37)</f>
        <v/>
      </c>
      <c r="P37">
        <f>O37*'Unit costs'!$B$2</f>
        <v/>
      </c>
      <c r="Q37">
        <f>MAX('Unit costs'!$B$8,P37*'Unit costs'!$B$7/'Unit costs'!$B$9)</f>
        <v/>
      </c>
      <c r="R37">
        <f>Q37*'Unit costs'!$B$9</f>
        <v/>
      </c>
      <c r="S37">
        <f>IF(R37&gt;0,1-P37/R37,0)</f>
        <v/>
      </c>
      <c r="T37">
        <f>IF(P37*'Unit costs'!$B$7&lt;'Unit costs'!$B$8*'Unit costs'!$B$9,"yes","")</f>
        <v/>
      </c>
      <c r="U37">
        <f>IF(S37&lt;0.6,"yes","")</f>
        <v/>
      </c>
    </row>
    <row r="38">
      <c r="A38" t="inlineStr">
        <is>
          <t>6a. Voice minute, Indic stack, India (Sarvam STT + gpt-4.1-mini + Sarvam TTS + Plivo)</t>
        </is>
      </c>
      <c r="B38" t="inlineStr">
        <is>
          <t>per minute</t>
        </is>
      </c>
      <c r="C38" t="inlineStr">
        <is>
          <t>median</t>
        </is>
      </c>
      <c r="D38">
        <f>('Unit prices'!$E$29/60)*'Measured usage'!$D$36/'Unit costs'!$B$2</f>
        <v/>
      </c>
      <c r="E38">
        <f>'Measured usage'!$D$31*'Unit costs'!$B$3*(('Measured usage'!$D$32+'Measured usage'!$D$33*('Measured usage'!$D$38/60)/2)*((1-'Unit costs'!$B$4)*'Unit prices'!$E$4+'Unit costs'!$B$4*'Unit prices'!$E$5)+'Measured usage'!$D$34*'Unit prices'!$E$6)/1000000</f>
        <v/>
      </c>
      <c r="F38">
        <f>('Unit prices'!$E$30/10000)*'Unit costs'!$B$5/'Unit costs'!$B$2</f>
        <v/>
      </c>
      <c r="G38">
        <f>'Unit costs'!$B$6*'Unit prices'!$E$47/'Unit costs'!$B$2</f>
        <v/>
      </c>
      <c r="O38">
        <f>SUM(D38:N38)</f>
        <v/>
      </c>
      <c r="P38">
        <f>O38*'Unit costs'!$B$2</f>
        <v/>
      </c>
      <c r="Q38">
        <f>MAX('Unit costs'!$B$8,P38*'Unit costs'!$B$7/'Unit costs'!$B$9)</f>
        <v/>
      </c>
      <c r="R38">
        <f>Q38*'Unit costs'!$B$9</f>
        <v/>
      </c>
      <c r="S38">
        <f>IF(R38&gt;0,1-P38/R38,0)</f>
        <v/>
      </c>
      <c r="T38">
        <f>IF(P38*'Unit costs'!$B$7&lt;'Unit costs'!$B$8*'Unit costs'!$B$9,"yes","")</f>
        <v/>
      </c>
      <c r="U38">
        <f>IF(S38&lt;0.6,"yes","")</f>
        <v/>
      </c>
    </row>
    <row r="39">
      <c r="A39" t="inlineStr">
        <is>
          <t>6a. Voice minute, Indic stack, India (Sarvam STT + gpt-4.1-mini + Sarvam TTS + Plivo)</t>
        </is>
      </c>
      <c r="B39" t="inlineStr">
        <is>
          <t>per minute</t>
        </is>
      </c>
      <c r="C39" t="inlineStr">
        <is>
          <t>p90</t>
        </is>
      </c>
      <c r="D39">
        <f>('Unit prices'!$E$29/60)*'Measured usage'!$D$36/'Unit costs'!$B$2</f>
        <v/>
      </c>
      <c r="E39">
        <f>'Measured usage'!$D$31*'Unit costs'!$B$3*(('Measured usage'!$D$32+'Measured usage'!$D$33*('Measured usage'!$D$38/60)/2)*((1-'Unit costs'!$B$4)*'Unit prices'!$E$7+'Unit costs'!$B$4*'Unit prices'!$E$8)+'Measured usage'!$D$34*'Unit prices'!$E$9)/1000000</f>
        <v/>
      </c>
      <c r="F39">
        <f>('Unit prices'!$E$30/10000)*'Unit costs'!$B$5/'Unit costs'!$B$2</f>
        <v/>
      </c>
      <c r="G39">
        <f>'Unit costs'!$B$6*'Unit prices'!$E$47/'Unit costs'!$B$2</f>
        <v/>
      </c>
      <c r="O39">
        <f>SUM(D39:N39)</f>
        <v/>
      </c>
      <c r="P39">
        <f>O39*'Unit costs'!$B$2</f>
        <v/>
      </c>
      <c r="Q39">
        <f>MAX('Unit costs'!$B$8,P39*'Unit costs'!$B$7/'Unit costs'!$B$9)</f>
        <v/>
      </c>
      <c r="R39">
        <f>Q39*'Unit costs'!$B$9</f>
        <v/>
      </c>
      <c r="S39">
        <f>IF(R39&gt;0,1-P39/R39,0)</f>
        <v/>
      </c>
      <c r="T39">
        <f>IF(P39*'Unit costs'!$B$7&lt;'Unit costs'!$B$8*'Unit costs'!$B$9,"yes","")</f>
        <v/>
      </c>
      <c r="U39">
        <f>IF(S39&lt;0.6,"yes","")</f>
        <v/>
      </c>
    </row>
    <row r="40">
      <c r="A40" t="inlineStr">
        <is>
          <t>6b. Voice minute, Indic stack, inbound India (same vendor rates)</t>
        </is>
      </c>
      <c r="B40" t="inlineStr">
        <is>
          <t>per minute</t>
        </is>
      </c>
      <c r="C40" t="inlineStr">
        <is>
          <t>median</t>
        </is>
      </c>
      <c r="D40">
        <f>('Unit prices'!$E$29/60)*'Measured usage'!$D$36/'Unit costs'!$B$2</f>
        <v/>
      </c>
      <c r="E40">
        <f>'Measured usage'!$D$31*'Unit costs'!$B$3*(('Measured usage'!$D$32+'Measured usage'!$D$33*('Measured usage'!$D$38/60)/2)*((1-'Unit costs'!$B$4)*'Unit prices'!$E$4+'Unit costs'!$B$4*'Unit prices'!$E$5)+'Measured usage'!$D$34*'Unit prices'!$E$6)/1000000</f>
        <v/>
      </c>
      <c r="F40">
        <f>('Unit prices'!$E$30/10000)*'Unit costs'!$B$5/'Unit costs'!$B$2</f>
        <v/>
      </c>
      <c r="G40">
        <f>'Unit costs'!$B$6*'Unit prices'!$E$47/'Unit costs'!$B$2</f>
        <v/>
      </c>
      <c r="O40">
        <f>SUM(D40:N40)</f>
        <v/>
      </c>
      <c r="P40">
        <f>O40*'Unit costs'!$B$2</f>
        <v/>
      </c>
      <c r="Q40">
        <f>MAX('Unit costs'!$B$8,P40*'Unit costs'!$B$7/'Unit costs'!$B$9)</f>
        <v/>
      </c>
      <c r="R40">
        <f>Q40*'Unit costs'!$B$9</f>
        <v/>
      </c>
      <c r="S40">
        <f>IF(R40&gt;0,1-P40/R40,0)</f>
        <v/>
      </c>
      <c r="T40">
        <f>IF(P40*'Unit costs'!$B$7&lt;'Unit costs'!$B$8*'Unit costs'!$B$9,"yes","")</f>
        <v/>
      </c>
      <c r="U40">
        <f>IF(S40&lt;0.6,"yes","")</f>
        <v/>
      </c>
    </row>
    <row r="41">
      <c r="A41" t="inlineStr">
        <is>
          <t>6b. Voice minute, Indic stack, inbound India (same vendor rates)</t>
        </is>
      </c>
      <c r="B41" t="inlineStr">
        <is>
          <t>per minute</t>
        </is>
      </c>
      <c r="C41" t="inlineStr">
        <is>
          <t>p90</t>
        </is>
      </c>
      <c r="D41">
        <f>('Unit prices'!$E$29/60)*'Measured usage'!$D$36/'Unit costs'!$B$2</f>
        <v/>
      </c>
      <c r="E41">
        <f>'Measured usage'!$D$31*'Unit costs'!$B$3*(('Measured usage'!$D$32+'Measured usage'!$D$33*('Measured usage'!$D$38/60)/2)*((1-'Unit costs'!$B$4)*'Unit prices'!$E$7+'Unit costs'!$B$4*'Unit prices'!$E$8)+'Measured usage'!$D$34*'Unit prices'!$E$9)/1000000</f>
        <v/>
      </c>
      <c r="F41">
        <f>('Unit prices'!$E$30/10000)*'Unit costs'!$B$5/'Unit costs'!$B$2</f>
        <v/>
      </c>
      <c r="G41">
        <f>'Unit costs'!$B$6*'Unit prices'!$E$47/'Unit costs'!$B$2</f>
        <v/>
      </c>
      <c r="O41">
        <f>SUM(D41:N41)</f>
        <v/>
      </c>
      <c r="P41">
        <f>O41*'Unit costs'!$B$2</f>
        <v/>
      </c>
      <c r="Q41">
        <f>MAX('Unit costs'!$B$8,P41*'Unit costs'!$B$7/'Unit costs'!$B$9)</f>
        <v/>
      </c>
      <c r="R41">
        <f>Q41*'Unit costs'!$B$9</f>
        <v/>
      </c>
      <c r="S41">
        <f>IF(R41&gt;0,1-P41/R41,0)</f>
        <v/>
      </c>
      <c r="T41">
        <f>IF(P41*'Unit costs'!$B$7&lt;'Unit costs'!$B$8*'Unit costs'!$B$9,"yes","")</f>
        <v/>
      </c>
      <c r="U41">
        <f>IF(S41&lt;0.6,"yes","")</f>
        <v/>
      </c>
    </row>
    <row r="42">
      <c r="A42" t="inlineStr">
        <is>
          <t>6c. Voice minute, natural voice (Smallest Lightning Pro TTS), India</t>
        </is>
      </c>
      <c r="B42" t="inlineStr">
        <is>
          <t>per minute</t>
        </is>
      </c>
      <c r="C42" t="inlineStr">
        <is>
          <t>median</t>
        </is>
      </c>
      <c r="D42">
        <f>('Unit prices'!$E$29/60)*'Measured usage'!$D$36/'Unit costs'!$B$2</f>
        <v/>
      </c>
      <c r="E42">
        <f>'Measured usage'!$D$31*'Unit costs'!$B$3*(('Measured usage'!$D$32+'Measured usage'!$D$33*('Measured usage'!$D$38/60)/2)*((1-'Unit costs'!$B$4)*'Unit prices'!$E$4+'Unit costs'!$B$4*'Unit prices'!$E$5)+'Measured usage'!$D$34*'Unit prices'!$E$6)/1000000</f>
        <v/>
      </c>
      <c r="F42">
        <f>('Unit prices'!$E$35/10000)*'Unit costs'!$B$5</f>
        <v/>
      </c>
      <c r="G42">
        <f>'Unit costs'!$B$6*'Unit prices'!$E$47/'Unit costs'!$B$2</f>
        <v/>
      </c>
      <c r="O42">
        <f>SUM(D42:N42)</f>
        <v/>
      </c>
      <c r="P42">
        <f>O42*'Unit costs'!$B$2</f>
        <v/>
      </c>
      <c r="Q42">
        <f>MAX('Unit costs'!$B$8,P42*'Unit costs'!$B$7/'Unit costs'!$B$9)</f>
        <v/>
      </c>
      <c r="R42">
        <f>Q42*'Unit costs'!$B$9</f>
        <v/>
      </c>
      <c r="S42">
        <f>IF(R42&gt;0,1-P42/R42,0)</f>
        <v/>
      </c>
      <c r="T42">
        <f>IF(P42*'Unit costs'!$B$7&lt;'Unit costs'!$B$8*'Unit costs'!$B$9,"yes","")</f>
        <v/>
      </c>
      <c r="U42">
        <f>IF(S42&lt;0.6,"yes","")</f>
        <v/>
      </c>
    </row>
    <row r="43">
      <c r="A43" t="inlineStr">
        <is>
          <t>6c. Voice minute, natural voice (Smallest Lightning Pro TTS), India</t>
        </is>
      </c>
      <c r="B43" t="inlineStr">
        <is>
          <t>per minute</t>
        </is>
      </c>
      <c r="C43" t="inlineStr">
        <is>
          <t>p90</t>
        </is>
      </c>
      <c r="D43">
        <f>('Unit prices'!$E$29/60)*'Measured usage'!$D$36/'Unit costs'!$B$2</f>
        <v/>
      </c>
      <c r="E43">
        <f>'Measured usage'!$D$31*'Unit costs'!$B$3*(('Measured usage'!$D$32+'Measured usage'!$D$33*('Measured usage'!$D$38/60)/2)*((1-'Unit costs'!$B$4)*'Unit prices'!$E$7+'Unit costs'!$B$4*'Unit prices'!$E$8)+'Measured usage'!$D$34*'Unit prices'!$E$9)/1000000</f>
        <v/>
      </c>
      <c r="F43">
        <f>('Unit prices'!$E$35/10000)*'Unit costs'!$B$5</f>
        <v/>
      </c>
      <c r="G43">
        <f>'Unit costs'!$B$6*'Unit prices'!$E$47/'Unit costs'!$B$2</f>
        <v/>
      </c>
      <c r="O43">
        <f>SUM(D43:N43)</f>
        <v/>
      </c>
      <c r="P43">
        <f>O43*'Unit costs'!$B$2</f>
        <v/>
      </c>
      <c r="Q43">
        <f>MAX('Unit costs'!$B$8,P43*'Unit costs'!$B$7/'Unit costs'!$B$9)</f>
        <v/>
      </c>
      <c r="R43">
        <f>Q43*'Unit costs'!$B$9</f>
        <v/>
      </c>
      <c r="S43">
        <f>IF(R43&gt;0,1-P43/R43,0)</f>
        <v/>
      </c>
      <c r="T43">
        <f>IF(P43*'Unit costs'!$B$7&lt;'Unit costs'!$B$8*'Unit costs'!$B$9,"yes","")</f>
        <v/>
      </c>
      <c r="U43">
        <f>IF(S43&lt;0.6,"yes","")</f>
        <v/>
      </c>
    </row>
    <row r="44">
      <c r="A44" t="inlineStr">
        <is>
          <t>6d. Voice minute, premium voice (ElevenLabs Flash TTS), India</t>
        </is>
      </c>
      <c r="B44" t="inlineStr">
        <is>
          <t>per minute</t>
        </is>
      </c>
      <c r="C44" t="inlineStr">
        <is>
          <t>median</t>
        </is>
      </c>
      <c r="D44">
        <f>('Unit prices'!$E$29/60)*'Measured usage'!$D$36/'Unit costs'!$B$2</f>
        <v/>
      </c>
      <c r="E44">
        <f>'Measured usage'!$D$31*'Unit costs'!$B$3*(('Measured usage'!$D$32+'Measured usage'!$D$33*('Measured usage'!$D$38/60)/2)*((1-'Unit costs'!$B$4)*'Unit prices'!$E$4+'Unit costs'!$B$4*'Unit prices'!$E$5)+'Measured usage'!$D$34*'Unit prices'!$E$6)/1000000</f>
        <v/>
      </c>
      <c r="F44">
        <f>('Unit prices'!$E$34/1000)*'Unit costs'!$B$5</f>
        <v/>
      </c>
      <c r="G44">
        <f>'Unit costs'!$B$6*'Unit prices'!$E$47/'Unit costs'!$B$2</f>
        <v/>
      </c>
      <c r="O44">
        <f>SUM(D44:N44)</f>
        <v/>
      </c>
      <c r="P44">
        <f>O44*'Unit costs'!$B$2</f>
        <v/>
      </c>
      <c r="Q44">
        <f>MAX('Unit costs'!$B$8,P44*'Unit costs'!$B$7/'Unit costs'!$B$9)</f>
        <v/>
      </c>
      <c r="R44">
        <f>Q44*'Unit costs'!$B$9</f>
        <v/>
      </c>
      <c r="S44">
        <f>IF(R44&gt;0,1-P44/R44,0)</f>
        <v/>
      </c>
      <c r="T44">
        <f>IF(P44*'Unit costs'!$B$7&lt;'Unit costs'!$B$8*'Unit costs'!$B$9,"yes","")</f>
        <v/>
      </c>
      <c r="U44">
        <f>IF(S44&lt;0.6,"yes","")</f>
        <v/>
      </c>
    </row>
    <row r="45">
      <c r="A45" t="inlineStr">
        <is>
          <t>6d. Voice minute, premium voice (ElevenLabs Flash TTS), India</t>
        </is>
      </c>
      <c r="B45" t="inlineStr">
        <is>
          <t>per minute</t>
        </is>
      </c>
      <c r="C45" t="inlineStr">
        <is>
          <t>p90</t>
        </is>
      </c>
      <c r="D45">
        <f>('Unit prices'!$E$29/60)*'Measured usage'!$D$36/'Unit costs'!$B$2</f>
        <v/>
      </c>
      <c r="E45">
        <f>'Measured usage'!$D$31*'Unit costs'!$B$3*(('Measured usage'!$D$32+'Measured usage'!$D$33*('Measured usage'!$D$38/60)/2)*((1-'Unit costs'!$B$4)*'Unit prices'!$E$7+'Unit costs'!$B$4*'Unit prices'!$E$8)+'Measured usage'!$D$34*'Unit prices'!$E$9)/1000000</f>
        <v/>
      </c>
      <c r="F45">
        <f>('Unit prices'!$E$34/1000)*'Unit costs'!$B$5</f>
        <v/>
      </c>
      <c r="G45">
        <f>'Unit costs'!$B$6*'Unit prices'!$E$47/'Unit costs'!$B$2</f>
        <v/>
      </c>
      <c r="O45">
        <f>SUM(D45:N45)</f>
        <v/>
      </c>
      <c r="P45">
        <f>O45*'Unit costs'!$B$2</f>
        <v/>
      </c>
      <c r="Q45">
        <f>MAX('Unit costs'!$B$8,P45*'Unit costs'!$B$7/'Unit costs'!$B$9)</f>
        <v/>
      </c>
      <c r="R45">
        <f>Q45*'Unit costs'!$B$9</f>
        <v/>
      </c>
      <c r="S45">
        <f>IF(R45&gt;0,1-P45/R45,0)</f>
        <v/>
      </c>
      <c r="T45">
        <f>IF(P45*'Unit costs'!$B$7&lt;'Unit costs'!$B$8*'Unit costs'!$B$9,"yes","")</f>
        <v/>
      </c>
      <c r="U45">
        <f>IF(S45&lt;0.6,"yes","")</f>
        <v/>
      </c>
    </row>
    <row r="46">
      <c r="A46" t="inlineStr">
        <is>
          <t>6e. Voice minute, Gemini Live, India</t>
        </is>
      </c>
      <c r="B46" t="inlineStr">
        <is>
          <t>per minute</t>
        </is>
      </c>
      <c r="C46" t="inlineStr">
        <is>
          <t>median</t>
        </is>
      </c>
      <c r="G46">
        <f>'Unit costs'!$B$6*'Unit prices'!$E$47/'Unit costs'!$B$2</f>
        <v/>
      </c>
      <c r="H46">
        <f>'Unit costs'!$B$3*((('Measured usage'!$D$38*('Measured usage'!$D$39+'Measured usage'!$D$40))*'Unit prices'!$E$40)*'Unit prices'!$E$37+((('Measured usage'!$D$38*('Measured usage'!$D$39+'Measured usage'!$D$40))*'Unit prices'!$E$40)*(((ROUND('Measured usage'!$D$38/10,0)+1)/2)-1))*(('Unit costs'!$B$4)*'Unit prices'!$E$38+(1-'Unit costs'!$B$4)*'Unit prices'!$E$37)+('Measured usage'!$D$38*'Measured usage'!$D$39*'Unit prices'!$E$41)*'Unit prices'!$E$39)/1000000/('Measured usage'!$D$38/60)</f>
        <v/>
      </c>
      <c r="O46">
        <f>SUM(D46:N46)</f>
        <v/>
      </c>
      <c r="P46">
        <f>O46*'Unit costs'!$B$2</f>
        <v/>
      </c>
      <c r="Q46">
        <f>MAX('Unit costs'!$B$8,P46*'Unit costs'!$B$7/'Unit costs'!$B$9)</f>
        <v/>
      </c>
      <c r="R46">
        <f>Q46*'Unit costs'!$B$9</f>
        <v/>
      </c>
      <c r="S46">
        <f>IF(R46&gt;0,1-P46/R46,0)</f>
        <v/>
      </c>
      <c r="T46">
        <f>IF(P46*'Unit costs'!$B$7&lt;'Unit costs'!$B$8*'Unit costs'!$B$9,"yes","")</f>
        <v/>
      </c>
      <c r="U46">
        <f>IF(S46&lt;0.6,"yes","")</f>
        <v/>
      </c>
    </row>
    <row r="47">
      <c r="A47" t="inlineStr">
        <is>
          <t>6e. Voice minute, Gemini Live, India</t>
        </is>
      </c>
      <c r="B47" t="inlineStr">
        <is>
          <t>per minute</t>
        </is>
      </c>
      <c r="C47" t="inlineStr">
        <is>
          <t>p90</t>
        </is>
      </c>
      <c r="G47">
        <f>'Unit costs'!$B$6*'Unit prices'!$E$47/'Unit costs'!$B$2</f>
        <v/>
      </c>
      <c r="H47">
        <f>1.5*'Unit costs'!$B$3*((('Measured usage'!$D$38*('Measured usage'!$D$39+'Measured usage'!$D$40))*'Unit prices'!$E$40)*'Unit prices'!$E$37+((('Measured usage'!$D$38*('Measured usage'!$D$39+'Measured usage'!$D$40))*'Unit prices'!$E$40)*(((ROUND('Measured usage'!$D$38/10,0)+1)/2)-1))*(('Unit costs'!$B$4)*'Unit prices'!$E$38+(1-'Unit costs'!$B$4)*'Unit prices'!$E$37)+('Measured usage'!$D$38*'Measured usage'!$D$39*'Unit prices'!$E$41)*'Unit prices'!$E$39)/1000000/('Measured usage'!$D$38/60)</f>
        <v/>
      </c>
      <c r="O47">
        <f>SUM(D47:N47)</f>
        <v/>
      </c>
      <c r="P47">
        <f>O47*'Unit costs'!$B$2</f>
        <v/>
      </c>
      <c r="Q47">
        <f>MAX('Unit costs'!$B$8,P47*'Unit costs'!$B$7/'Unit costs'!$B$9)</f>
        <v/>
      </c>
      <c r="R47">
        <f>Q47*'Unit costs'!$B$9</f>
        <v/>
      </c>
      <c r="S47">
        <f>IF(R47&gt;0,1-P47/R47,0)</f>
        <v/>
      </c>
      <c r="T47">
        <f>IF(P47*'Unit costs'!$B$7&lt;'Unit costs'!$B$8*'Unit costs'!$B$9,"yes","")</f>
        <v/>
      </c>
      <c r="U47">
        <f>IF(S47&lt;0.6,"yes","")</f>
        <v/>
      </c>
    </row>
    <row r="48">
      <c r="A48" t="inlineStr">
        <is>
          <t>6f. Voice minute, OpenAI realtime premium, India</t>
        </is>
      </c>
      <c r="B48" t="inlineStr">
        <is>
          <t>per minute</t>
        </is>
      </c>
      <c r="C48" t="inlineStr">
        <is>
          <t>median</t>
        </is>
      </c>
      <c r="G48">
        <f>'Unit costs'!$B$6*'Unit prices'!$E$47/'Unit costs'!$B$2</f>
        <v/>
      </c>
      <c r="H48">
        <f>'Unit costs'!$B$3*((('Measured usage'!$D$38*('Measured usage'!$D$39+'Measured usage'!$D$40))*'Unit prices'!$E$45)*'Unit prices'!$E$42+((('Measured usage'!$D$38*('Measured usage'!$D$39+'Measured usage'!$D$40))*'Unit prices'!$E$45)*(((ROUND('Measured usage'!$D$38/10,0)+1)/2)-1))*(('Unit costs'!$B$4)*'Unit prices'!$E$43+(1-'Unit costs'!$B$4)*'Unit prices'!$E$42)+('Measured usage'!$D$38*'Measured usage'!$D$39*'Unit prices'!$E$46)*'Unit prices'!$E$44)/1000000/('Measured usage'!$D$38/60)</f>
        <v/>
      </c>
      <c r="O48">
        <f>SUM(D48:N48)</f>
        <v/>
      </c>
      <c r="P48">
        <f>O48*'Unit costs'!$B$2</f>
        <v/>
      </c>
      <c r="Q48">
        <f>MAX('Unit costs'!$B$8,P48*'Unit costs'!$B$7/'Unit costs'!$B$9)</f>
        <v/>
      </c>
      <c r="R48">
        <f>Q48*'Unit costs'!$B$9</f>
        <v/>
      </c>
      <c r="S48">
        <f>IF(R48&gt;0,1-P48/R48,0)</f>
        <v/>
      </c>
      <c r="T48">
        <f>IF(P48*'Unit costs'!$B$7&lt;'Unit costs'!$B$8*'Unit costs'!$B$9,"yes","")</f>
        <v/>
      </c>
      <c r="U48">
        <f>IF(S48&lt;0.6,"yes","")</f>
        <v/>
      </c>
    </row>
    <row r="49">
      <c r="A49" t="inlineStr">
        <is>
          <t>6f. Voice minute, OpenAI realtime premium, India</t>
        </is>
      </c>
      <c r="B49" t="inlineStr">
        <is>
          <t>per minute</t>
        </is>
      </c>
      <c r="C49" t="inlineStr">
        <is>
          <t>p90</t>
        </is>
      </c>
      <c r="G49">
        <f>'Unit costs'!$B$6*'Unit prices'!$E$47/'Unit costs'!$B$2</f>
        <v/>
      </c>
      <c r="H49">
        <f>1.5*'Unit costs'!$B$3*((('Measured usage'!$D$38*('Measured usage'!$D$39+'Measured usage'!$D$40))*'Unit prices'!$E$45)*'Unit prices'!$E$42+((('Measured usage'!$D$38*('Measured usage'!$D$39+'Measured usage'!$D$40))*'Unit prices'!$E$45)*(((ROUND('Measured usage'!$D$38/10,0)+1)/2)-1))*(('Unit costs'!$B$4)*'Unit prices'!$E$43+(1-'Unit costs'!$B$4)*'Unit prices'!$E$42)+('Measured usage'!$D$38*'Measured usage'!$D$39*'Unit prices'!$E$46)*'Unit prices'!$E$44)/1000000/('Measured usage'!$D$38/60)</f>
        <v/>
      </c>
      <c r="O49">
        <f>SUM(D49:N49)</f>
        <v/>
      </c>
      <c r="P49">
        <f>O49*'Unit costs'!$B$2</f>
        <v/>
      </c>
      <c r="Q49">
        <f>MAX('Unit costs'!$B$8,P49*'Unit costs'!$B$7/'Unit costs'!$B$9)</f>
        <v/>
      </c>
      <c r="R49">
        <f>Q49*'Unit costs'!$B$9</f>
        <v/>
      </c>
      <c r="S49">
        <f>IF(R49&gt;0,1-P49/R49,0)</f>
        <v/>
      </c>
      <c r="T49">
        <f>IF(P49*'Unit costs'!$B$7&lt;'Unit costs'!$B$8*'Unit costs'!$B$9,"yes","")</f>
        <v/>
      </c>
      <c r="U49">
        <f>IF(S49&lt;0.6,"yes","")</f>
        <v/>
      </c>
    </row>
    <row r="50">
      <c r="A50" t="inlineStr">
        <is>
          <t>6g. Voice minute, overseas (Deepgram Flux + gpt-4.1-mini + ElevenLabs + Twilio US)</t>
        </is>
      </c>
      <c r="B50" t="inlineStr">
        <is>
          <t>per minute</t>
        </is>
      </c>
      <c r="C50" t="inlineStr">
        <is>
          <t>median</t>
        </is>
      </c>
      <c r="D50">
        <f>'Unit prices'!$E$32*'Unit costs'!$B$3</f>
        <v/>
      </c>
      <c r="E50">
        <f>'Measured usage'!$D$31*'Unit costs'!$B$3*(('Measured usage'!$D$32+'Measured usage'!$D$33*('Measured usage'!$D$38/60)/2)*((1-'Unit costs'!$B$4)*'Unit prices'!$E$4+'Unit costs'!$B$4*'Unit prices'!$E$5)+'Measured usage'!$D$34*'Unit prices'!$E$6)/1000000</f>
        <v/>
      </c>
      <c r="F50">
        <f>('Unit prices'!$E$34/1000)*'Unit costs'!$B$5</f>
        <v/>
      </c>
      <c r="G50">
        <f>'Unit costs'!$B$6*'Unit prices'!$E$49</f>
        <v/>
      </c>
      <c r="O50">
        <f>SUM(D50:N50)</f>
        <v/>
      </c>
      <c r="P50">
        <f>O50*'Unit costs'!$B$2</f>
        <v/>
      </c>
      <c r="Q50">
        <f>MAX('Unit costs'!$B$8,P50*'Unit costs'!$B$7/'Unit costs'!$B$9)</f>
        <v/>
      </c>
      <c r="R50">
        <f>Q50*'Unit costs'!$B$9</f>
        <v/>
      </c>
      <c r="S50">
        <f>IF(R50&gt;0,1-P50/R50,0)</f>
        <v/>
      </c>
      <c r="T50">
        <f>IF(P50*'Unit costs'!$B$7&lt;'Unit costs'!$B$8*'Unit costs'!$B$9,"yes","")</f>
        <v/>
      </c>
      <c r="U50">
        <f>IF(S50&lt;0.6,"yes","")</f>
        <v/>
      </c>
    </row>
    <row r="51">
      <c r="A51" t="inlineStr">
        <is>
          <t>6g. Voice minute, overseas (Deepgram Flux + gpt-4.1-mini + ElevenLabs + Twilio US)</t>
        </is>
      </c>
      <c r="B51" t="inlineStr">
        <is>
          <t>per minute</t>
        </is>
      </c>
      <c r="C51" t="inlineStr">
        <is>
          <t>p90</t>
        </is>
      </c>
      <c r="D51">
        <f>'Unit prices'!$E$32*'Unit costs'!$B$3</f>
        <v/>
      </c>
      <c r="E51">
        <f>'Measured usage'!$D$31*'Unit costs'!$B$3*(('Measured usage'!$D$32+'Measured usage'!$D$33*('Measured usage'!$D$38/60)/2)*((1-'Unit costs'!$B$4)*'Unit prices'!$E$7+'Unit costs'!$B$4*'Unit prices'!$E$8)+'Measured usage'!$D$34*'Unit prices'!$E$9)/1000000</f>
        <v/>
      </c>
      <c r="F51">
        <f>('Unit prices'!$E$34/1000)*'Unit costs'!$B$5</f>
        <v/>
      </c>
      <c r="G51">
        <f>'Unit costs'!$B$6*'Unit prices'!$E$49</f>
        <v/>
      </c>
      <c r="O51">
        <f>SUM(D51:N51)</f>
        <v/>
      </c>
      <c r="P51">
        <f>O51*'Unit costs'!$B$2</f>
        <v/>
      </c>
      <c r="Q51">
        <f>MAX('Unit costs'!$B$8,P51*'Unit costs'!$B$7/'Unit costs'!$B$9)</f>
        <v/>
      </c>
      <c r="R51">
        <f>Q51*'Unit costs'!$B$9</f>
        <v/>
      </c>
      <c r="S51">
        <f>IF(R51&gt;0,1-P51/R51,0)</f>
        <v/>
      </c>
      <c r="T51">
        <f>IF(P51*'Unit costs'!$B$7&lt;'Unit costs'!$B$8*'Unit costs'!$B$9,"yes","")</f>
        <v/>
      </c>
      <c r="U51">
        <f>IF(S51&lt;0.6,"yes","")</f>
        <v/>
      </c>
    </row>
    <row r="52">
      <c r="A52" t="inlineStr">
        <is>
          <t>6h. Voice minute, overseas, Gemini Live + Twilio US</t>
        </is>
      </c>
      <c r="B52" t="inlineStr">
        <is>
          <t>per minute</t>
        </is>
      </c>
      <c r="C52" t="inlineStr">
        <is>
          <t>median</t>
        </is>
      </c>
      <c r="G52">
        <f>'Unit costs'!$B$6*'Unit prices'!$E$49</f>
        <v/>
      </c>
      <c r="H52">
        <f>'Unit costs'!$B$3*((('Measured usage'!$D$38*('Measured usage'!$D$39+'Measured usage'!$D$40))*'Unit prices'!$E$40)*'Unit prices'!$E$37+((('Measured usage'!$D$38*('Measured usage'!$D$39+'Measured usage'!$D$40))*'Unit prices'!$E$40)*(((ROUND('Measured usage'!$D$38/10,0)+1)/2)-1))*(('Unit costs'!$B$4)*'Unit prices'!$E$38+(1-'Unit costs'!$B$4)*'Unit prices'!$E$37)+('Measured usage'!$D$38*'Measured usage'!$D$39*'Unit prices'!$E$41)*'Unit prices'!$E$39)/1000000/('Measured usage'!$D$38/60)</f>
        <v/>
      </c>
      <c r="O52">
        <f>SUM(D52:N52)</f>
        <v/>
      </c>
      <c r="P52">
        <f>O52*'Unit costs'!$B$2</f>
        <v/>
      </c>
      <c r="Q52">
        <f>MAX('Unit costs'!$B$8,P52*'Unit costs'!$B$7/'Unit costs'!$B$9)</f>
        <v/>
      </c>
      <c r="R52">
        <f>Q52*'Unit costs'!$B$9</f>
        <v/>
      </c>
      <c r="S52">
        <f>IF(R52&gt;0,1-P52/R52,0)</f>
        <v/>
      </c>
      <c r="T52">
        <f>IF(P52*'Unit costs'!$B$7&lt;'Unit costs'!$B$8*'Unit costs'!$B$9,"yes","")</f>
        <v/>
      </c>
      <c r="U52">
        <f>IF(S52&lt;0.6,"yes","")</f>
        <v/>
      </c>
    </row>
    <row r="53">
      <c r="A53" t="inlineStr">
        <is>
          <t>6h. Voice minute, overseas, Gemini Live + Twilio US</t>
        </is>
      </c>
      <c r="B53" t="inlineStr">
        <is>
          <t>per minute</t>
        </is>
      </c>
      <c r="C53" t="inlineStr">
        <is>
          <t>p90</t>
        </is>
      </c>
      <c r="G53">
        <f>'Unit costs'!$B$6*'Unit prices'!$E$49</f>
        <v/>
      </c>
      <c r="H53">
        <f>'Unit costs'!$B$3*((('Measured usage'!$D$38*('Measured usage'!$D$39+'Measured usage'!$D$40))*'Unit prices'!$E$40)*'Unit prices'!$E$37+((('Measured usage'!$D$38*('Measured usage'!$D$39+'Measured usage'!$D$40))*'Unit prices'!$E$40)*(((ROUND('Measured usage'!$D$38/10,0)+1)/2)-1))*(('Unit costs'!$B$4)*'Unit prices'!$E$38+(1-'Unit costs'!$B$4)*'Unit prices'!$E$37)+('Measured usage'!$D$38*'Measured usage'!$D$39*'Unit prices'!$E$41)*'Unit prices'!$E$39)/1000000/('Measured usage'!$D$38/60)</f>
        <v/>
      </c>
      <c r="O53">
        <f>SUM(D53:N53)</f>
        <v/>
      </c>
      <c r="P53">
        <f>O53*'Unit costs'!$B$2</f>
        <v/>
      </c>
      <c r="Q53">
        <f>MAX('Unit costs'!$B$8,P53*'Unit costs'!$B$7/'Unit costs'!$B$9)</f>
        <v/>
      </c>
      <c r="R53">
        <f>Q53*'Unit costs'!$B$9</f>
        <v/>
      </c>
      <c r="S53">
        <f>IF(R53&gt;0,1-P53/R53,0)</f>
        <v/>
      </c>
      <c r="T53">
        <f>IF(P53*'Unit costs'!$B$7&lt;'Unit costs'!$B$8*'Unit costs'!$B$9,"yes","")</f>
        <v/>
      </c>
      <c r="U53">
        <f>IF(S53&lt;0.6,"yes","")</f>
        <v/>
      </c>
    </row>
    <row r="54">
      <c r="A54" t="inlineStr">
        <is>
          <t>7a. WhatsApp utility template</t>
        </is>
      </c>
      <c r="B54" t="inlineStr">
        <is>
          <t>per message</t>
        </is>
      </c>
      <c r="C54" t="inlineStr">
        <is>
          <t>median</t>
        </is>
      </c>
      <c r="K54">
        <f>'Unit prices'!$E$52/'Unit costs'!$B$2</f>
        <v/>
      </c>
      <c r="O54">
        <f>SUM(D54:N54)</f>
        <v/>
      </c>
      <c r="P54">
        <f>O54*'Unit costs'!$B$2</f>
        <v/>
      </c>
      <c r="Q54">
        <f>MAX('Unit costs'!$B$8,P54*'Unit costs'!$B$7/'Unit costs'!$B$9)</f>
        <v/>
      </c>
      <c r="R54">
        <f>Q54*'Unit costs'!$B$9</f>
        <v/>
      </c>
      <c r="S54">
        <f>IF(R54&gt;0,1-P54/R54,0)</f>
        <v/>
      </c>
      <c r="T54">
        <f>IF(P54*'Unit costs'!$B$7&lt;'Unit costs'!$B$8*'Unit costs'!$B$9,"yes","")</f>
        <v/>
      </c>
      <c r="U54">
        <f>IF(S54&lt;0.6,"yes","")</f>
        <v/>
      </c>
    </row>
    <row r="55">
      <c r="A55" t="inlineStr">
        <is>
          <t>7a. WhatsApp utility template</t>
        </is>
      </c>
      <c r="B55" t="inlineStr">
        <is>
          <t>per message</t>
        </is>
      </c>
      <c r="C55" t="inlineStr">
        <is>
          <t>p90</t>
        </is>
      </c>
      <c r="K55">
        <f>'Unit prices'!$E$52/'Unit costs'!$B$2</f>
        <v/>
      </c>
      <c r="O55">
        <f>SUM(D55:N55)</f>
        <v/>
      </c>
      <c r="P55">
        <f>O55*'Unit costs'!$B$2</f>
        <v/>
      </c>
      <c r="Q55">
        <f>MAX('Unit costs'!$B$8,P55*'Unit costs'!$B$7/'Unit costs'!$B$9)</f>
        <v/>
      </c>
      <c r="R55">
        <f>Q55*'Unit costs'!$B$9</f>
        <v/>
      </c>
      <c r="S55">
        <f>IF(R55&gt;0,1-P55/R55,0)</f>
        <v/>
      </c>
      <c r="T55">
        <f>IF(P55*'Unit costs'!$B$7&lt;'Unit costs'!$B$8*'Unit costs'!$B$9,"yes","")</f>
        <v/>
      </c>
      <c r="U55">
        <f>IF(S55&lt;0.6,"yes","")</f>
        <v/>
      </c>
    </row>
    <row r="56">
      <c r="A56" t="inlineStr">
        <is>
          <t>7b. WhatsApp service reply (in the 24 h window)</t>
        </is>
      </c>
      <c r="B56" t="inlineStr">
        <is>
          <t>per message</t>
        </is>
      </c>
      <c r="C56" t="inlineStr">
        <is>
          <t>median</t>
        </is>
      </c>
      <c r="E56">
        <f>'Unit costs'!$B$3*(('Measured usage'!$D$2+'Measured usage'!$D$4)*((1-'Unit costs'!$B$4)*'Unit prices'!$E$4+'Unit costs'!$B$4*'Unit prices'!$E$5)+'Measured usage'!$D$6*'Unit prices'!$E$6)/1000000</f>
        <v/>
      </c>
      <c r="K56">
        <f>'Unit prices'!$E$54/'Unit costs'!$B$2</f>
        <v/>
      </c>
      <c r="O56">
        <f>SUM(D56:N56)</f>
        <v/>
      </c>
      <c r="P56">
        <f>O56*'Unit costs'!$B$2</f>
        <v/>
      </c>
      <c r="Q56">
        <f>MAX('Unit costs'!$B$8,P56*'Unit costs'!$B$7/'Unit costs'!$B$9)</f>
        <v/>
      </c>
      <c r="R56">
        <f>Q56*'Unit costs'!$B$9</f>
        <v/>
      </c>
      <c r="S56">
        <f>IF(R56&gt;0,1-P56/R56,0)</f>
        <v/>
      </c>
      <c r="T56">
        <f>IF(P56*'Unit costs'!$B$7&lt;'Unit costs'!$B$8*'Unit costs'!$B$9,"yes","")</f>
        <v/>
      </c>
      <c r="U56">
        <f>IF(S56&lt;0.6,"yes","")</f>
        <v/>
      </c>
    </row>
    <row r="57">
      <c r="A57" t="inlineStr">
        <is>
          <t>7b. WhatsApp service reply (in the 24 h window)</t>
        </is>
      </c>
      <c r="B57" t="inlineStr">
        <is>
          <t>per message</t>
        </is>
      </c>
      <c r="C57" t="inlineStr">
        <is>
          <t>p90</t>
        </is>
      </c>
      <c r="E57">
        <f>'Unit costs'!$B$3*(('Measured usage'!$D$2+'Measured usage'!$D$5)*((1-'Unit costs'!$B$4)*'Unit prices'!$E$4+'Unit costs'!$B$4*'Unit prices'!$E$5)+'Measured usage'!$D$7*'Unit prices'!$E$6)/1000000</f>
        <v/>
      </c>
      <c r="K57">
        <f>'Unit prices'!$E$54/'Unit costs'!$B$2</f>
        <v/>
      </c>
      <c r="O57">
        <f>SUM(D57:N57)</f>
        <v/>
      </c>
      <c r="P57">
        <f>O57*'Unit costs'!$B$2</f>
        <v/>
      </c>
      <c r="Q57">
        <f>MAX('Unit costs'!$B$8,P57*'Unit costs'!$B$7/'Unit costs'!$B$9)</f>
        <v/>
      </c>
      <c r="R57">
        <f>Q57*'Unit costs'!$B$9</f>
        <v/>
      </c>
      <c r="S57">
        <f>IF(R57&gt;0,1-P57/R57,0)</f>
        <v/>
      </c>
      <c r="T57">
        <f>IF(P57*'Unit costs'!$B$7&lt;'Unit costs'!$B$8*'Unit costs'!$B$9,"yes","")</f>
        <v/>
      </c>
      <c r="U57">
        <f>IF(S57&lt;0.6,"yes","")</f>
        <v/>
      </c>
    </row>
    <row r="58">
      <c r="A58" t="inlineStr">
        <is>
          <t>7c. WhatsApp marketing template</t>
        </is>
      </c>
      <c r="B58" t="inlineStr">
        <is>
          <t>per message</t>
        </is>
      </c>
      <c r="C58" t="inlineStr">
        <is>
          <t>median</t>
        </is>
      </c>
      <c r="K58">
        <f>'Unit prices'!$E$51/'Unit costs'!$B$2</f>
        <v/>
      </c>
      <c r="O58">
        <f>SUM(D58:N58)</f>
        <v/>
      </c>
      <c r="P58">
        <f>O58*'Unit costs'!$B$2</f>
        <v/>
      </c>
      <c r="Q58">
        <f>MAX('Unit costs'!$B$8,P58*'Unit costs'!$B$7/'Unit costs'!$B$9)</f>
        <v/>
      </c>
      <c r="R58">
        <f>Q58*'Unit costs'!$B$9</f>
        <v/>
      </c>
      <c r="S58">
        <f>IF(R58&gt;0,1-P58/R58,0)</f>
        <v/>
      </c>
      <c r="T58">
        <f>IF(P58*'Unit costs'!$B$7&lt;'Unit costs'!$B$8*'Unit costs'!$B$9,"yes","")</f>
        <v/>
      </c>
      <c r="U58">
        <f>IF(S58&lt;0.6,"yes","")</f>
        <v/>
      </c>
    </row>
    <row r="59">
      <c r="A59" t="inlineStr">
        <is>
          <t>7c. WhatsApp marketing template</t>
        </is>
      </c>
      <c r="B59" t="inlineStr">
        <is>
          <t>per message</t>
        </is>
      </c>
      <c r="C59" t="inlineStr">
        <is>
          <t>p90</t>
        </is>
      </c>
      <c r="K59">
        <f>'Unit prices'!$E$51/'Unit costs'!$B$2</f>
        <v/>
      </c>
      <c r="O59">
        <f>SUM(D59:N59)</f>
        <v/>
      </c>
      <c r="P59">
        <f>O59*'Unit costs'!$B$2</f>
        <v/>
      </c>
      <c r="Q59">
        <f>MAX('Unit costs'!$B$8,P59*'Unit costs'!$B$7/'Unit costs'!$B$9)</f>
        <v/>
      </c>
      <c r="R59">
        <f>Q59*'Unit costs'!$B$9</f>
        <v/>
      </c>
      <c r="S59">
        <f>IF(R59&gt;0,1-P59/R59,0)</f>
        <v/>
      </c>
      <c r="T59">
        <f>IF(P59*'Unit costs'!$B$7&lt;'Unit costs'!$B$8*'Unit costs'!$B$9,"yes","")</f>
        <v/>
      </c>
      <c r="U59">
        <f>IF(S59&lt;0.6,"yes","")</f>
        <v/>
      </c>
    </row>
    <row r="60">
      <c r="A60" t="inlineStr">
        <is>
          <t>8. Web search (1 Serper query + the tool turn)</t>
        </is>
      </c>
      <c r="B60" t="inlineStr">
        <is>
          <t>per search</t>
        </is>
      </c>
      <c r="C60" t="inlineStr">
        <is>
          <t>median</t>
        </is>
      </c>
      <c r="L60">
        <f>'Measured usage'!$D$44*'Unit prices'!$E$55</f>
        <v/>
      </c>
      <c r="O60">
        <f>SUM(D60:N60)</f>
        <v/>
      </c>
      <c r="P60">
        <f>O60*'Unit costs'!$B$2</f>
        <v/>
      </c>
      <c r="Q60">
        <f>MAX('Unit costs'!$B$8,P60*'Unit costs'!$B$7/'Unit costs'!$B$9)</f>
        <v/>
      </c>
      <c r="R60">
        <f>Q60*'Unit costs'!$B$9</f>
        <v/>
      </c>
      <c r="S60">
        <f>IF(R60&gt;0,1-P60/R60,0)</f>
        <v/>
      </c>
      <c r="T60">
        <f>IF(P60*'Unit costs'!$B$7&lt;'Unit costs'!$B$8*'Unit costs'!$B$9,"yes","")</f>
        <v/>
      </c>
      <c r="U60">
        <f>IF(S60&lt;0.6,"yes","")</f>
        <v/>
      </c>
    </row>
    <row r="61">
      <c r="A61" t="inlineStr">
        <is>
          <t>8. Web search (1 Serper query + the tool turn)</t>
        </is>
      </c>
      <c r="B61" t="inlineStr">
        <is>
          <t>per search</t>
        </is>
      </c>
      <c r="C61" t="inlineStr">
        <is>
          <t>p90</t>
        </is>
      </c>
      <c r="L61">
        <f>3*'Unit prices'!$E$55</f>
        <v/>
      </c>
      <c r="O61">
        <f>SUM(D61:N61)</f>
        <v/>
      </c>
      <c r="P61">
        <f>O61*'Unit costs'!$B$2</f>
        <v/>
      </c>
      <c r="Q61">
        <f>MAX('Unit costs'!$B$8,P61*'Unit costs'!$B$7/'Unit costs'!$B$9)</f>
        <v/>
      </c>
      <c r="R61">
        <f>Q61*'Unit costs'!$B$9</f>
        <v/>
      </c>
      <c r="S61">
        <f>IF(R61&gt;0,1-P61/R61,0)</f>
        <v/>
      </c>
      <c r="T61">
        <f>IF(P61*'Unit costs'!$B$7&lt;'Unit costs'!$B$8*'Unit costs'!$B$9,"yes","")</f>
        <v/>
      </c>
      <c r="U61">
        <f>IF(S61&lt;0.6,"yes","")</f>
        <v/>
      </c>
    </row>
    <row r="62">
      <c r="A62" t="inlineStr">
        <is>
          <t>9a. Script run (sandbox on our own box; compute only)</t>
        </is>
      </c>
      <c r="B62" t="inlineStr">
        <is>
          <t>per run</t>
        </is>
      </c>
      <c r="C62" t="inlineStr">
        <is>
          <t>median</t>
        </is>
      </c>
      <c r="M62">
        <f>'Measured usage'!$D$42/3600*'Unit prices'!$E$60/4</f>
        <v/>
      </c>
      <c r="O62">
        <f>SUM(D62:N62)</f>
        <v/>
      </c>
      <c r="P62">
        <f>O62*'Unit costs'!$B$2</f>
        <v/>
      </c>
      <c r="Q62">
        <f>MAX('Unit costs'!$B$8,P62*'Unit costs'!$B$7/'Unit costs'!$B$9)</f>
        <v/>
      </c>
      <c r="R62">
        <f>Q62*'Unit costs'!$B$9</f>
        <v/>
      </c>
      <c r="S62">
        <f>IF(R62&gt;0,1-P62/R62,0)</f>
        <v/>
      </c>
      <c r="T62">
        <f>IF(P62*'Unit costs'!$B$7&lt;'Unit costs'!$B$8*'Unit costs'!$B$9,"yes","")</f>
        <v/>
      </c>
      <c r="U62">
        <f>IF(S62&lt;0.6,"yes","")</f>
        <v/>
      </c>
    </row>
    <row r="63">
      <c r="A63" t="inlineStr">
        <is>
          <t>9a. Script run (sandbox on our own box; compute only)</t>
        </is>
      </c>
      <c r="B63" t="inlineStr">
        <is>
          <t>per run</t>
        </is>
      </c>
      <c r="C63" t="inlineStr">
        <is>
          <t>p90</t>
        </is>
      </c>
      <c r="M63">
        <f>6*'Measured usage'!$D$42/3600*'Unit prices'!$E$60/4</f>
        <v/>
      </c>
      <c r="O63">
        <f>SUM(D63:N63)</f>
        <v/>
      </c>
      <c r="P63">
        <f>O63*'Unit costs'!$B$2</f>
        <v/>
      </c>
      <c r="Q63">
        <f>MAX('Unit costs'!$B$8,P63*'Unit costs'!$B$7/'Unit costs'!$B$9)</f>
        <v/>
      </c>
      <c r="R63">
        <f>Q63*'Unit costs'!$B$9</f>
        <v/>
      </c>
      <c r="S63">
        <f>IF(R63&gt;0,1-P63/R63,0)</f>
        <v/>
      </c>
      <c r="T63">
        <f>IF(P63*'Unit costs'!$B$7&lt;'Unit costs'!$B$8*'Unit costs'!$B$9,"yes","")</f>
        <v/>
      </c>
      <c r="U63">
        <f>IF(S63&lt;0.6,"yes","")</f>
        <v/>
      </c>
    </row>
    <row r="64">
      <c r="A64" t="inlineStr">
        <is>
          <t>9b. Translation, 100 characters (Sarvam)</t>
        </is>
      </c>
      <c r="B64" t="inlineStr">
        <is>
          <t>per 100 chars</t>
        </is>
      </c>
      <c r="C64" t="inlineStr">
        <is>
          <t>median</t>
        </is>
      </c>
      <c r="N64">
        <f>'Measured usage'!$D$41/10000*'Unit prices'!$E$31/'Unit costs'!$B$2</f>
        <v/>
      </c>
      <c r="O64">
        <f>SUM(D64:N64)</f>
        <v/>
      </c>
      <c r="P64">
        <f>O64*'Unit costs'!$B$2</f>
        <v/>
      </c>
      <c r="Q64">
        <f>MAX('Unit costs'!$B$8,P64*'Unit costs'!$B$7/'Unit costs'!$B$9)</f>
        <v/>
      </c>
      <c r="R64">
        <f>Q64*'Unit costs'!$B$9</f>
        <v/>
      </c>
      <c r="S64">
        <f>IF(R64&gt;0,1-P64/R64,0)</f>
        <v/>
      </c>
      <c r="T64">
        <f>IF(P64*'Unit costs'!$B$7&lt;'Unit costs'!$B$8*'Unit costs'!$B$9,"yes","")</f>
        <v/>
      </c>
      <c r="U64">
        <f>IF(S64&lt;0.6,"yes","")</f>
        <v/>
      </c>
    </row>
    <row r="65">
      <c r="A65" t="inlineStr">
        <is>
          <t>9b. Translation, 100 characters (Sarvam)</t>
        </is>
      </c>
      <c r="B65" t="inlineStr">
        <is>
          <t>per 100 chars</t>
        </is>
      </c>
      <c r="C65" t="inlineStr">
        <is>
          <t>p90</t>
        </is>
      </c>
      <c r="N65">
        <f>'Measured usage'!$D$41/10000*'Unit prices'!$E$31/'Unit costs'!$B$2</f>
        <v/>
      </c>
      <c r="O65">
        <f>SUM(D65:N65)</f>
        <v/>
      </c>
      <c r="P65">
        <f>O65*'Unit costs'!$B$2</f>
        <v/>
      </c>
      <c r="Q65">
        <f>MAX('Unit costs'!$B$8,P65*'Unit costs'!$B$7/'Unit costs'!$B$9)</f>
        <v/>
      </c>
      <c r="R65">
        <f>Q65*'Unit costs'!$B$9</f>
        <v/>
      </c>
      <c r="S65">
        <f>IF(R65&gt;0,1-P65/R65,0)</f>
        <v/>
      </c>
      <c r="T65">
        <f>IF(P65*'Unit costs'!$B$7&lt;'Unit costs'!$B$8*'Unit costs'!$B$9,"yes","")</f>
        <v/>
      </c>
      <c r="U65">
        <f>IF(S65&lt;0.6,"yes","")</f>
        <v/>
      </c>
    </row>
    <row r="66">
      <c r="A66" t="inlineStr">
        <is>
          <t>9c. Transcription of an uploaded recording (Deepgram batch)</t>
        </is>
      </c>
      <c r="B66" t="inlineStr">
        <is>
          <t>per minute</t>
        </is>
      </c>
      <c r="C66" t="inlineStr">
        <is>
          <t>median</t>
        </is>
      </c>
      <c r="D66">
        <f>'Unit prices'!$E$33*'Unit costs'!$B$3</f>
        <v/>
      </c>
      <c r="O66">
        <f>SUM(D66:N66)</f>
        <v/>
      </c>
      <c r="P66">
        <f>O66*'Unit costs'!$B$2</f>
        <v/>
      </c>
      <c r="Q66">
        <f>MAX('Unit costs'!$B$8,P66*'Unit costs'!$B$7/'Unit costs'!$B$9)</f>
        <v/>
      </c>
      <c r="R66">
        <f>Q66*'Unit costs'!$B$9</f>
        <v/>
      </c>
      <c r="S66">
        <f>IF(R66&gt;0,1-P66/R66,0)</f>
        <v/>
      </c>
      <c r="T66">
        <f>IF(P66*'Unit costs'!$B$7&lt;'Unit costs'!$B$8*'Unit costs'!$B$9,"yes","")</f>
        <v/>
      </c>
      <c r="U66">
        <f>IF(S66&lt;0.6,"yes","")</f>
        <v/>
      </c>
    </row>
    <row r="67">
      <c r="A67" t="inlineStr">
        <is>
          <t>9c. Transcription of an uploaded recording (Deepgram batch)</t>
        </is>
      </c>
      <c r="B67" t="inlineStr">
        <is>
          <t>per minute</t>
        </is>
      </c>
      <c r="C67" t="inlineStr">
        <is>
          <t>p90</t>
        </is>
      </c>
      <c r="D67">
        <f>'Unit prices'!$E$33*'Unit costs'!$B$3</f>
        <v/>
      </c>
      <c r="O67">
        <f>SUM(D67:N67)</f>
        <v/>
      </c>
      <c r="P67">
        <f>O67*'Unit costs'!$B$2</f>
        <v/>
      </c>
      <c r="Q67">
        <f>MAX('Unit costs'!$B$8,P67*'Unit costs'!$B$7/'Unit costs'!$B$9)</f>
        <v/>
      </c>
      <c r="R67">
        <f>Q67*'Unit costs'!$B$9</f>
        <v/>
      </c>
      <c r="S67">
        <f>IF(R67&gt;0,1-P67/R67,0)</f>
        <v/>
      </c>
      <c r="T67">
        <f>IF(P67*'Unit costs'!$B$7&lt;'Unit costs'!$B$8*'Unit costs'!$B$9,"yes","")</f>
        <v/>
      </c>
      <c r="U67">
        <f>IF(S67&lt;0.6,"yes","")</f>
        <v/>
      </c>
    </row>
    <row r="68">
      <c r="A68" t="inlineStr">
        <is>
          <t>10a. Storage per workspace per month (S3 price for the GB held)</t>
        </is>
      </c>
      <c r="B68" t="inlineStr">
        <is>
          <t>per workspace-month</t>
        </is>
      </c>
      <c r="C68" t="inlineStr">
        <is>
          <t>median</t>
        </is>
      </c>
      <c r="M68">
        <f>'Measured usage'!$D$43*'Unit prices'!$E$58</f>
        <v/>
      </c>
      <c r="O68">
        <f>SUM(D68:N68)</f>
        <v/>
      </c>
      <c r="P68">
        <f>O68*'Unit costs'!$B$2</f>
        <v/>
      </c>
      <c r="Q68">
        <f>MAX('Unit costs'!$B$8,P68*'Unit costs'!$B$7/'Unit costs'!$B$9)</f>
        <v/>
      </c>
      <c r="R68">
        <f>Q68*'Unit costs'!$B$9</f>
        <v/>
      </c>
      <c r="S68">
        <f>IF(R68&gt;0,1-P68/R68,0)</f>
        <v/>
      </c>
      <c r="T68">
        <f>IF(P68*'Unit costs'!$B$7&lt;'Unit costs'!$B$8*'Unit costs'!$B$9,"yes","")</f>
        <v/>
      </c>
      <c r="U68">
        <f>IF(S68&lt;0.6,"yes","")</f>
        <v/>
      </c>
    </row>
    <row r="69">
      <c r="A69" t="inlineStr">
        <is>
          <t>10a. Storage per workspace per month (S3 price for the GB held)</t>
        </is>
      </c>
      <c r="B69" t="inlineStr">
        <is>
          <t>per workspace-month</t>
        </is>
      </c>
      <c r="C69" t="inlineStr">
        <is>
          <t>p90</t>
        </is>
      </c>
      <c r="M69">
        <f>5*'Measured usage'!$D$43*'Unit prices'!$E$58</f>
        <v/>
      </c>
      <c r="O69">
        <f>SUM(D69:N69)</f>
        <v/>
      </c>
      <c r="P69">
        <f>O69*'Unit costs'!$B$2</f>
        <v/>
      </c>
      <c r="Q69">
        <f>MAX('Unit costs'!$B$8,P69*'Unit costs'!$B$7/'Unit costs'!$B$9)</f>
        <v/>
      </c>
      <c r="R69">
        <f>Q69*'Unit costs'!$B$9</f>
        <v/>
      </c>
      <c r="S69">
        <f>IF(R69&gt;0,1-P69/R69,0)</f>
        <v/>
      </c>
      <c r="T69">
        <f>IF(P69*'Unit costs'!$B$7&lt;'Unit costs'!$B$8*'Unit costs'!$B$9,"yes","")</f>
        <v/>
      </c>
      <c r="U69">
        <f>IF(S69&lt;0.6,"yes","")</f>
        <v/>
      </c>
    </row>
    <row r="70">
      <c r="A70" t="inlineStr">
        <is>
          <t>10b. Phone number per month, India (Plivo)</t>
        </is>
      </c>
      <c r="B70" t="inlineStr">
        <is>
          <t>per number-month</t>
        </is>
      </c>
      <c r="C70" t="inlineStr">
        <is>
          <t>median</t>
        </is>
      </c>
      <c r="G70">
        <f>'Unit prices'!$E$48/'Unit costs'!$B$2</f>
        <v/>
      </c>
      <c r="O70">
        <f>SUM(D70:N70)</f>
        <v/>
      </c>
      <c r="P70">
        <f>O70*'Unit costs'!$B$2</f>
        <v/>
      </c>
      <c r="Q70">
        <f>MAX('Unit costs'!$B$8,P70*'Unit costs'!$B$7/'Unit costs'!$B$9)</f>
        <v/>
      </c>
      <c r="R70">
        <f>Q70*'Unit costs'!$B$9</f>
        <v/>
      </c>
      <c r="S70">
        <f>IF(R70&gt;0,1-P70/R70,0)</f>
        <v/>
      </c>
      <c r="T70">
        <f>IF(P70*'Unit costs'!$B$7&lt;'Unit costs'!$B$8*'Unit costs'!$B$9,"yes","")</f>
        <v/>
      </c>
      <c r="U70">
        <f>IF(S70&lt;0.6,"yes","")</f>
        <v/>
      </c>
    </row>
    <row r="71">
      <c r="A71" t="inlineStr">
        <is>
          <t>10b. Phone number per month, India (Plivo)</t>
        </is>
      </c>
      <c r="B71" t="inlineStr">
        <is>
          <t>per number-month</t>
        </is>
      </c>
      <c r="C71" t="inlineStr">
        <is>
          <t>p90</t>
        </is>
      </c>
      <c r="G71">
        <f>'Unit prices'!$E$48/'Unit costs'!$B$2</f>
        <v/>
      </c>
      <c r="O71">
        <f>SUM(D71:N71)</f>
        <v/>
      </c>
      <c r="P71">
        <f>O71*'Unit costs'!$B$2</f>
        <v/>
      </c>
      <c r="Q71">
        <f>MAX('Unit costs'!$B$8,P71*'Unit costs'!$B$7/'Unit costs'!$B$9)</f>
        <v/>
      </c>
      <c r="R71">
        <f>Q71*'Unit costs'!$B$9</f>
        <v/>
      </c>
      <c r="S71">
        <f>IF(R71&gt;0,1-P71/R71,0)</f>
        <v/>
      </c>
      <c r="T71">
        <f>IF(P71*'Unit costs'!$B$7&lt;'Unit costs'!$B$8*'Unit costs'!$B$9,"yes","")</f>
        <v/>
      </c>
      <c r="U71">
        <f>IF(S71&lt;0.6,"yes","")</f>
        <v/>
      </c>
    </row>
    <row r="72">
      <c r="A72" t="inlineStr">
        <is>
          <t>10c. Phone number per month, US (Twilio)</t>
        </is>
      </c>
      <c r="B72" t="inlineStr">
        <is>
          <t>per number-month</t>
        </is>
      </c>
      <c r="C72" t="inlineStr">
        <is>
          <t>median</t>
        </is>
      </c>
      <c r="G72">
        <f>'Unit prices'!$E$50</f>
        <v/>
      </c>
      <c r="O72">
        <f>SUM(D72:N72)</f>
        <v/>
      </c>
      <c r="P72">
        <f>O72*'Unit costs'!$B$2</f>
        <v/>
      </c>
      <c r="Q72">
        <f>MAX('Unit costs'!$B$8,P72*'Unit costs'!$B$7/'Unit costs'!$B$9)</f>
        <v/>
      </c>
      <c r="R72">
        <f>Q72*'Unit costs'!$B$9</f>
        <v/>
      </c>
      <c r="S72">
        <f>IF(R72&gt;0,1-P72/R72,0)</f>
        <v/>
      </c>
      <c r="T72">
        <f>IF(P72*'Unit costs'!$B$7&lt;'Unit costs'!$B$8*'Unit costs'!$B$9,"yes","")</f>
        <v/>
      </c>
      <c r="U72">
        <f>IF(S72&lt;0.6,"yes","")</f>
        <v/>
      </c>
    </row>
    <row r="73">
      <c r="A73" t="inlineStr">
        <is>
          <t>10c. Phone number per month, US (Twilio)</t>
        </is>
      </c>
      <c r="B73" t="inlineStr">
        <is>
          <t>per number-month</t>
        </is>
      </c>
      <c r="C73" t="inlineStr">
        <is>
          <t>p90</t>
        </is>
      </c>
      <c r="G73">
        <f>'Unit prices'!$E$50</f>
        <v/>
      </c>
      <c r="O73">
        <f>SUM(D73:N73)</f>
        <v/>
      </c>
      <c r="P73">
        <f>O73*'Unit costs'!$B$2</f>
        <v/>
      </c>
      <c r="Q73">
        <f>MAX('Unit costs'!$B$8,P73*'Unit costs'!$B$7/'Unit costs'!$B$9)</f>
        <v/>
      </c>
      <c r="R73">
        <f>Q73*'Unit costs'!$B$9</f>
        <v/>
      </c>
      <c r="S73">
        <f>IF(R73&gt;0,1-P73/R73,0)</f>
        <v/>
      </c>
      <c r="T73">
        <f>IF(P73*'Unit costs'!$B$7&lt;'Unit costs'!$B$8*'Unit costs'!$B$9,"yes","")</f>
        <v/>
      </c>
      <c r="U73">
        <f>IF(S73&lt;0.6,"yes","")</f>
        <v/>
      </c>
    </row>
    <row r="74"/>
    <row r="75">
      <c r="A75" s="7" t="inlineStr">
        <is>
          <t>Cross-check against our own 30-day charges (vendor cost = charged / code markup)</t>
        </is>
      </c>
    </row>
    <row r="76">
      <c r="A76" t="inlineStr">
        <is>
          <t>STT vendor cost per billable minute (INR)</t>
        </is>
      </c>
      <c r="B76">
        <f>'Measured usage'!$D$25/'Measured usage'!$D$28/'Measured usage'!$D$23</f>
        <v/>
      </c>
    </row>
    <row r="77">
      <c r="A77" t="inlineStr">
        <is>
          <t>TTS vendor cost per billable minute (INR)</t>
        </is>
      </c>
      <c r="B77">
        <f>'Measured usage'!$D$26/'Measured usage'!$D$29/'Measured usage'!$D$23</f>
        <v/>
      </c>
    </row>
    <row r="78">
      <c r="A78" t="inlineStr">
        <is>
          <t>Implied TTS characters per minute at Sarvam's price</t>
        </is>
      </c>
      <c r="B78">
        <f>'Unit costs'!$B$77/('Unit prices'!$E$30/10000)</f>
        <v/>
      </c>
    </row>
    <row r="79">
      <c r="A79" t="inlineStr">
        <is>
          <t>LLM vendor cost per billable minute, upper bound (INR; includes text chat)</t>
        </is>
      </c>
      <c r="B79">
        <f>'Measured usage'!$D$27/'Measured usage'!$D$30/'Measured usage'!$D$23</f>
        <v/>
      </c>
    </row>
    <row r="80">
      <c r="A80" t="inlineStr">
        <is>
          <t>Charged per billable minute, all components (INR)</t>
        </is>
      </c>
      <c r="B80">
        <f>'Measured usage'!$D$24/'Measured usage'!$D$23</f>
        <v/>
      </c>
    </row>
    <row r="81">
      <c r="A81" t="inlineStr">
        <is>
          <t>Modelled Indic minute, vendor cost (INR), for comparison</t>
        </is>
      </c>
      <c r="B81">
        <f>'Unit costs'!$P$38</f>
        <v/>
      </c>
    </row>
    <row r="82">
      <c r="A82" t="inlineStr">
        <is>
          <t>Code's own constant for the same minute (INR): exchange.py:120</t>
        </is>
      </c>
      <c r="B82" t="n">
        <v>2.51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80" customWidth="1" min="5" max="5"/>
  </cols>
  <sheetData>
    <row r="1">
      <c r="A1" s="1" t="inlineStr">
        <is>
          <t>Item</t>
        </is>
      </c>
      <c r="B1" s="1" t="inlineStr">
        <is>
          <t>Monthly USD</t>
        </is>
      </c>
      <c r="C1" s="1" t="inlineStr">
        <is>
          <t>Monthly INR</t>
        </is>
      </c>
      <c r="D1" s="1" t="inlineStr">
        <is>
          <t>Label</t>
        </is>
      </c>
      <c r="E1" s="1" t="inlineStr">
        <is>
          <t>Source / note</t>
        </is>
      </c>
    </row>
    <row r="2">
      <c r="A2" t="inlineStr">
        <is>
          <t>EC2 production box (instance type assumed t3.xlarge, 4 vCPU / 16 GB)</t>
        </is>
      </c>
      <c r="B2">
        <f>'Unit prices'!$E$60*'Measured usage'!$D$45</f>
        <v/>
      </c>
      <c r="C2">
        <f>B2*'Unit prices'!$E$2</f>
        <v/>
      </c>
      <c r="D2" s="8" t="inlineStr">
        <is>
          <t>assumption</t>
        </is>
      </c>
      <c r="E2" s="2" t="inlineStr">
        <is>
          <t>Type not in the repo. The compose stack (api workers, postgres, redis, minio, falkordb, gotenberg, sandbox, coturn, nginx, CI runner) needs at least 4 vCPU / 8 GB per docs/deployment/docker.mdx. Replace with the AWS invoice.</t>
        </is>
      </c>
    </row>
    <row r="3">
      <c r="A3" t="inlineStr">
        <is>
          <t>EBS root volume 145 GB gp3</t>
        </is>
      </c>
      <c r="B3">
        <f>'Measured usage'!$D$46*'Unit prices'!$E$59</f>
        <v/>
      </c>
      <c r="C3">
        <f>B3*'Unit prices'!$E$2</f>
        <v/>
      </c>
      <c r="D3" s="9" t="inlineStr">
        <is>
          <t>measured</t>
        </is>
      </c>
      <c r="E3" s="2" t="inlineStr">
        <is>
          <t>Size from scripts/ci_deploy.sh:71; price from AWS EBS pricing.</t>
        </is>
      </c>
    </row>
    <row r="4">
      <c r="A4" t="inlineStr">
        <is>
          <t>Egress 200 GB</t>
        </is>
      </c>
      <c r="B4">
        <f>'Measured usage'!$D$47*'Unit prices'!$E$61</f>
        <v/>
      </c>
      <c r="C4">
        <f>B4*'Unit prices'!$E$2</f>
        <v/>
      </c>
      <c r="D4" s="8" t="inlineStr">
        <is>
          <t>assumption</t>
        </is>
      </c>
      <c r="E4" s="2" t="inlineStr">
        <is>
          <t>No CloudWatch figures were available.</t>
        </is>
      </c>
    </row>
    <row r="5">
      <c r="A5" t="inlineStr">
        <is>
          <t>S3 / backup mirror, 50 GB</t>
        </is>
      </c>
      <c r="B5">
        <f>50*'Unit prices'!$E$58</f>
        <v/>
      </c>
      <c r="C5">
        <f>B5*'Unit prices'!$E$2</f>
        <v/>
      </c>
      <c r="D5" s="8" t="inlineStr">
        <is>
          <t>assumption</t>
        </is>
      </c>
      <c r="E5" s="2" t="inlineStr">
        <is>
          <t>MinIO on the box is the default; a mirror bucket is optional (BACKUP_MIRROR_*).</t>
        </is>
      </c>
    </row>
    <row r="6">
      <c r="A6" t="inlineStr">
        <is>
          <t>Plivo platform number (verification SMS sender)</t>
        </is>
      </c>
      <c r="B6">
        <f>'Unit prices'!$E$48/'Unit prices'!$E$2</f>
        <v/>
      </c>
      <c r="C6">
        <f>B6*'Unit prices'!$E$2</f>
        <v/>
      </c>
      <c r="D6" s="10" t="inlineStr">
        <is>
          <t>code constant</t>
        </is>
      </c>
      <c r="E6" s="2" t="inlineStr">
        <is>
          <t>One number at the code's rental cost.</t>
        </is>
      </c>
    </row>
    <row r="7">
      <c r="A7" t="inlineStr">
        <is>
          <t>Meta WhatsApp platform number</t>
        </is>
      </c>
      <c r="B7" t="n">
        <v>0</v>
      </c>
      <c r="C7">
        <f>B7*'Unit prices'!$E$2</f>
        <v/>
      </c>
      <c r="D7" s="11" t="inlineStr">
        <is>
          <t>vendor price</t>
        </is>
      </c>
      <c r="E7" s="2" t="inlineStr">
        <is>
          <t>Meta does not charge a number rental; per-message only.</t>
        </is>
      </c>
    </row>
    <row r="8">
      <c r="A8" t="inlineStr">
        <is>
          <t>Composio plan</t>
        </is>
      </c>
      <c r="B8" t="n">
        <v>0</v>
      </c>
      <c r="C8">
        <f>B8*'Unit prices'!$E$2</f>
        <v/>
      </c>
      <c r="D8" s="8" t="inlineStr">
        <is>
          <t>assumption</t>
        </is>
      </c>
      <c r="E8" s="2" t="inlineStr">
        <is>
          <t>Hobby tier is free to 100k calls a month; Pro is USD 29 a month (composio.dev/pricing, 29 Sep 2026). Open question which tier the account is on.</t>
        </is>
      </c>
    </row>
    <row r="9">
      <c r="A9" t="inlineStr">
        <is>
          <t>PostHog</t>
        </is>
      </c>
      <c r="B9" t="n">
        <v>0</v>
      </c>
      <c r="C9">
        <f>B9*'Unit prices'!$E$2</f>
        <v/>
      </c>
      <c r="D9" s="8" t="inlineStr">
        <is>
          <t>assumption</t>
        </is>
      </c>
      <c r="E9" s="2" t="inlineStr">
        <is>
          <t>Free tier (1M events a month).</t>
        </is>
      </c>
    </row>
    <row r="10">
      <c r="A10" t="inlineStr">
        <is>
          <t>Sentry</t>
        </is>
      </c>
      <c r="B10" t="n">
        <v>0</v>
      </c>
      <c r="C10">
        <f>B10*'Unit prices'!$E$2</f>
        <v/>
      </c>
      <c r="D10" s="8" t="inlineStr">
        <is>
          <t>assumption</t>
        </is>
      </c>
      <c r="E10" s="2" t="inlineStr">
        <is>
          <t>Developer tier is free; Team is USD 26. Open question whether a DSN is set in production.</t>
        </is>
      </c>
    </row>
    <row r="11">
      <c r="A11" t="inlineStr">
        <is>
          <t>Langfuse (self-hosted at langfuse.decibyl.ai)</t>
        </is>
      </c>
      <c r="B11" t="n">
        <v>0</v>
      </c>
      <c r="C11">
        <f>B11*'Unit prices'!$E$2</f>
        <v/>
      </c>
      <c r="D11" s="8" t="inlineStr">
        <is>
          <t>assumption</t>
        </is>
      </c>
      <c r="E11" s="2" t="inlineStr">
        <is>
          <t>If it is Langfuse Cloud instead, Core is USD 29 a month (langfuse.com/pricing, 29 Sep 2026). Open question.</t>
        </is>
      </c>
    </row>
    <row r="12">
      <c r="A12" t="inlineStr">
        <is>
          <t>GitHub Actions</t>
        </is>
      </c>
      <c r="B12" t="n">
        <v>0</v>
      </c>
      <c r="C12">
        <f>B12*'Unit prices'!$E$2</f>
        <v/>
      </c>
      <c r="D12" s="9" t="inlineStr">
        <is>
          <t>measured</t>
        </is>
      </c>
      <c r="E12" s="2" t="inlineStr">
        <is>
          <t>Self-hosted runner on the production box since 28 Sep 2026; spending limit to be set to USD 0.</t>
        </is>
      </c>
    </row>
    <row r="13">
      <c r="A13" t="inlineStr">
        <is>
          <t>Domain, DNS, Cloudflare</t>
        </is>
      </c>
      <c r="B13" t="n">
        <v>2</v>
      </c>
      <c r="C13">
        <f>B13*'Unit prices'!$E$2</f>
        <v/>
      </c>
      <c r="D13" s="8" t="inlineStr">
        <is>
          <t>assumption</t>
        </is>
      </c>
      <c r="E13" s="2" t="inlineStr">
        <is>
          <t>decibyl.ai renewal amortised; Cloudflare free plan.</t>
        </is>
      </c>
    </row>
    <row r="14">
      <c r="A14" t="inlineStr">
        <is>
          <t>SMTP relay</t>
        </is>
      </c>
      <c r="B14" t="n">
        <v>0</v>
      </c>
      <c r="C14">
        <f>B14*'Unit prices'!$E$2</f>
        <v/>
      </c>
      <c r="D14" s="8" t="inlineStr">
        <is>
          <t>assumption</t>
        </is>
      </c>
      <c r="E14" s="2" t="inlineStr">
        <is>
          <t>Vendor unnamed in code; most relays are free below 3k mails a month.</t>
        </is>
      </c>
    </row>
    <row r="15">
      <c r="A15" t="inlineStr">
        <is>
          <t>Razorpay</t>
        </is>
      </c>
      <c r="B15" t="n">
        <v>0</v>
      </c>
      <c r="C15">
        <f>B15*'Unit prices'!$E$2</f>
        <v/>
      </c>
      <c r="D15" s="11" t="inlineStr">
        <is>
          <t>vendor price</t>
        </is>
      </c>
      <c r="E15" s="2" t="inlineStr">
        <is>
          <t>No fixed fee; MDR is variable and modelled per plan on the Plan margins sheet.</t>
        </is>
      </c>
    </row>
    <row r="16">
      <c r="A16" s="7" t="inlineStr">
        <is>
          <t>Total fixed per month</t>
        </is>
      </c>
      <c r="B16">
        <f>SUM(B2:B15)</f>
        <v/>
      </c>
      <c r="C16">
        <f>SUM(C2:C15)</f>
        <v/>
      </c>
    </row>
    <row r="18">
      <c r="A18" s="7" t="inlineStr">
        <is>
          <t>Marginal cost of one extra workspace per month</t>
        </is>
      </c>
    </row>
    <row r="19">
      <c r="A19" t="inlineStr">
        <is>
          <t>Storage (GB assumed per workspace x S3 price)</t>
        </is>
      </c>
      <c r="B19">
        <f>'Measured usage'!$D$43*'Unit prices'!$E$58</f>
        <v/>
      </c>
      <c r="C19">
        <f>B19*'Unit prices'!$E$2</f>
        <v/>
      </c>
    </row>
    <row r="20">
      <c r="A20" t="inlineStr">
        <is>
          <t>Database rows, background jobs, Redis (share of the box)</t>
        </is>
      </c>
      <c r="B20">
        <f>B2/500</f>
        <v/>
      </c>
      <c r="C20">
        <f>B20*'Unit prices'!$E$2</f>
        <v/>
      </c>
      <c r="E20" t="inlineStr">
        <is>
          <t>Assumption: one box carries about 500 light workspaces before the next box (docs/deployment/scaling.mdx sizes by voice concurrency, not by workspace).</t>
        </is>
      </c>
    </row>
    <row r="21">
      <c r="A21" s="7" t="inlineStr">
        <is>
          <t>Marginal cost per extra workspace</t>
        </is>
      </c>
      <c r="B21">
        <f>B19+B20</f>
        <v/>
      </c>
      <c r="C21">
        <f>B21*'Unit prices'!$E$2</f>
        <v/>
      </c>
    </row>
    <row r="23">
      <c r="A23" s="7" t="inlineStr">
        <is>
          <t>Fixed cost allocated per paying workspace</t>
        </is>
      </c>
    </row>
    <row r="24">
      <c r="A24" s="1" t="inlineStr">
        <is>
          <t>Paying workspaces</t>
        </is>
      </c>
      <c r="B24" s="1" t="inlineStr">
        <is>
          <t>Fixed USD / workspace</t>
        </is>
      </c>
      <c r="C24" s="1" t="inlineStr">
        <is>
          <t>Fixed INR / workspace</t>
        </is>
      </c>
      <c r="D24" s="1" t="inlineStr"/>
      <c r="E24" s="1" t="inlineStr">
        <is>
          <t>Note</t>
        </is>
      </c>
    </row>
    <row r="25">
      <c r="A25" t="n">
        <v>50</v>
      </c>
      <c r="B25">
        <f>$B$16/A25</f>
        <v/>
      </c>
      <c r="C25">
        <f>$C$16/A25</f>
        <v/>
      </c>
      <c r="E25" t="inlineStr">
        <is>
          <t>At 1,000 workspaces a second box is likely; the total here stays at one box, so the 1,000 figure is a floor.</t>
        </is>
      </c>
    </row>
    <row r="26">
      <c r="A26" t="n">
        <v>200</v>
      </c>
      <c r="B26">
        <f>$B$16/A26</f>
        <v/>
      </c>
      <c r="C26">
        <f>$C$16/A26</f>
        <v/>
      </c>
      <c r="E26" t="inlineStr">
        <is>
          <t>At 1,000 workspaces a second box is likely; the total here stays at one box, so the 1,000 figure is a floor.</t>
        </is>
      </c>
    </row>
    <row r="27">
      <c r="A27" t="n">
        <v>1000</v>
      </c>
      <c r="B27">
        <f>$B$16/A27</f>
        <v/>
      </c>
      <c r="C27">
        <f>$C$16/A27</f>
        <v/>
      </c>
      <c r="E27" t="inlineStr">
        <is>
          <t>At 1,000 workspaces a second box is likely; the total here stays at one box, so the 1,000 figure is a floor.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7" t="inlineStr">
        <is>
          <t>Proposed plans (from the audit prompt; not live)</t>
        </is>
      </c>
    </row>
    <row r="2">
      <c r="A2" s="1" t="inlineStr">
        <is>
          <t>Plan</t>
        </is>
      </c>
      <c r="B2" s="1" t="inlineStr">
        <is>
          <t>Price INR</t>
        </is>
      </c>
      <c r="C2" s="1" t="inlineStr">
        <is>
          <t>Price USD</t>
        </is>
      </c>
      <c r="D2" s="1" t="inlineStr">
        <is>
          <t>Credits</t>
        </is>
      </c>
      <c r="E2" s="1" t="inlineStr">
        <is>
          <t>Chat per day</t>
        </is>
      </c>
      <c r="F2" s="1" t="inlineStr">
        <is>
          <t>Builder msgs per month</t>
        </is>
      </c>
      <c r="G2" s="1" t="inlineStr">
        <is>
          <t>Agents</t>
        </is>
      </c>
      <c r="H2" s="1" t="inlineStr">
        <is>
          <t>Chat cost median INR (default model)</t>
        </is>
      </c>
      <c r="I2" s="1" t="inlineStr">
        <is>
          <t>Chat cost INR if opus ran inside the allowance (p90)</t>
        </is>
      </c>
      <c r="J2" s="1" t="inlineStr">
        <is>
          <t>Builder cost median INR</t>
        </is>
      </c>
      <c r="K2" s="1" t="inlineStr">
        <is>
          <t>Cost per credit spent INR</t>
        </is>
      </c>
      <c r="L2" s="1" t="inlineStr">
        <is>
          <t>Chat cost p90 INR (default model)</t>
        </is>
      </c>
      <c r="M2" s="1" t="inlineStr">
        <is>
          <t>Builder cost p90 INR</t>
        </is>
      </c>
    </row>
    <row r="3">
      <c r="A3" t="inlineStr">
        <is>
          <t>Starter</t>
        </is>
      </c>
      <c r="B3" t="n">
        <v>3999</v>
      </c>
      <c r="C3" t="n">
        <v>59</v>
      </c>
      <c r="D3" t="n">
        <v>3000</v>
      </c>
      <c r="E3" t="n">
        <v>30</v>
      </c>
      <c r="F3" t="n">
        <v>100</v>
      </c>
      <c r="G3" t="n">
        <v>2</v>
      </c>
      <c r="H3">
        <f>'Unit costs'!$P$14</f>
        <v/>
      </c>
      <c r="I3">
        <f>'Unit costs'!$P$19</f>
        <v/>
      </c>
      <c r="J3">
        <f>'Unit costs'!$P$22</f>
        <v/>
      </c>
      <c r="K3">
        <f>'Unit costs'!$B$9/'Unit costs'!$B$7</f>
        <v/>
      </c>
      <c r="L3">
        <f>'Unit costs'!$P$15</f>
        <v/>
      </c>
      <c r="M3">
        <f>'Unit costs'!$P$23</f>
        <v/>
      </c>
    </row>
    <row r="4">
      <c r="A4" t="inlineStr">
        <is>
          <t>Growth</t>
        </is>
      </c>
      <c r="B4" t="n">
        <v>14999</v>
      </c>
      <c r="C4" t="n">
        <v>199</v>
      </c>
      <c r="D4" t="n">
        <v>12000</v>
      </c>
      <c r="E4" t="n">
        <v>100</v>
      </c>
      <c r="F4" t="n">
        <v>500</v>
      </c>
      <c r="G4" t="n">
        <v>10</v>
      </c>
      <c r="H4">
        <f>'Unit costs'!$P$14</f>
        <v/>
      </c>
      <c r="I4">
        <f>'Unit costs'!$P$19</f>
        <v/>
      </c>
      <c r="J4">
        <f>'Unit costs'!$P$22</f>
        <v/>
      </c>
      <c r="K4">
        <f>'Unit costs'!$B$9/'Unit costs'!$B$7</f>
        <v/>
      </c>
      <c r="L4">
        <f>'Unit costs'!$P$15</f>
        <v/>
      </c>
      <c r="M4">
        <f>'Unit costs'!$P$23</f>
        <v/>
      </c>
    </row>
    <row r="5">
      <c r="A5" t="inlineStr">
        <is>
          <t>Scale</t>
        </is>
      </c>
      <c r="B5" t="n">
        <v>39999</v>
      </c>
      <c r="C5" t="n">
        <v>499</v>
      </c>
      <c r="D5" t="n">
        <v>32000</v>
      </c>
      <c r="E5" t="n">
        <v>300</v>
      </c>
      <c r="F5" t="n">
        <v>1500</v>
      </c>
      <c r="G5" t="n">
        <v>50</v>
      </c>
      <c r="H5">
        <f>'Unit costs'!$P$14</f>
        <v/>
      </c>
      <c r="I5">
        <f>'Unit costs'!$P$19</f>
        <v/>
      </c>
      <c r="J5">
        <f>'Unit costs'!$P$22</f>
        <v/>
      </c>
      <c r="K5">
        <f>'Unit costs'!$B$9/'Unit costs'!$B$7</f>
        <v/>
      </c>
      <c r="L5">
        <f>'Unit costs'!$P$15</f>
        <v/>
      </c>
      <c r="M5">
        <f>'Unit costs'!$P$23</f>
        <v/>
      </c>
    </row>
    <row r="6"/>
    <row r="7"/>
    <row r="8">
      <c r="A8" s="7" t="inlineStr">
        <is>
          <t>Gross margin by utilisation (India price, INR). Cost = u x (chat/day x 30 x chat cost + builder msgs x builder cost + credits x cost per credit). Razorpay MDR deducted from revenue.</t>
        </is>
      </c>
    </row>
    <row r="9">
      <c r="A9" s="1" t="inlineStr">
        <is>
          <t>Plan</t>
        </is>
      </c>
      <c r="B9" s="1" t="inlineStr">
        <is>
          <t>Case</t>
        </is>
      </c>
      <c r="C9" s="1" t="inlineStr">
        <is>
          <t>Utilisation</t>
        </is>
      </c>
      <c r="D9" s="1" t="inlineStr">
        <is>
          <t>Revenue INR (net of MDR)</t>
        </is>
      </c>
      <c r="E9" s="1" t="inlineStr">
        <is>
          <t>Chat cost INR</t>
        </is>
      </c>
      <c r="F9" s="1" t="inlineStr">
        <is>
          <t>Builder cost INR</t>
        </is>
      </c>
      <c r="G9" s="1" t="inlineStr">
        <is>
          <t>Credits cost INR</t>
        </is>
      </c>
      <c r="H9" s="1" t="inlineStr">
        <is>
          <t>Total variable INR</t>
        </is>
      </c>
      <c r="I9" s="1" t="inlineStr">
        <is>
          <t>Gross margin</t>
        </is>
      </c>
      <c r="J9" s="1" t="inlineStr">
        <is>
          <t>Gross margin &lt; 60%?</t>
        </is>
      </c>
      <c r="K9" s="1" t="inlineStr">
        <is>
          <t>Fixed alloc at 50 ws INR</t>
        </is>
      </c>
      <c r="L9" s="1" t="inlineStr">
        <is>
          <t>Margin after fixed (50 ws)</t>
        </is>
      </c>
      <c r="M9" s="1" t="inlineStr">
        <is>
          <t>Margin after fixed (200 ws)</t>
        </is>
      </c>
      <c r="N9" s="1" t="inlineStr">
        <is>
          <t>Global revenue INR (USD price x FX, net of MDR)</t>
        </is>
      </c>
      <c r="O9" s="1" t="inlineStr">
        <is>
          <t>Global gross margin</t>
        </is>
      </c>
    </row>
    <row r="10">
      <c r="A10" t="inlineStr">
        <is>
          <t>Starter</t>
        </is>
      </c>
      <c r="B10" t="inlineStr">
        <is>
          <t>25% use</t>
        </is>
      </c>
      <c r="C10" t="n">
        <v>0.25</v>
      </c>
      <c r="D10">
        <f>$B$3*(1-'Unit prices'!$E$57)</f>
        <v/>
      </c>
      <c r="E10">
        <f>C10*$E$3*30*$H$3</f>
        <v/>
      </c>
      <c r="F10">
        <f>C10*$F$3*$J$3</f>
        <v/>
      </c>
      <c r="G10">
        <f>C10*$D$3*$K$3</f>
        <v/>
      </c>
      <c r="H10">
        <f>E10+F10+G10</f>
        <v/>
      </c>
      <c r="I10" s="12">
        <f>1-H10/D10</f>
        <v/>
      </c>
      <c r="J10">
        <f>IF(I10&lt;0.6,"yes","")</f>
        <v/>
      </c>
      <c r="K10">
        <f>'Fixed costs'!$C$25</f>
        <v/>
      </c>
      <c r="L10" s="12">
        <f>1-(H10+K10)/D10</f>
        <v/>
      </c>
      <c r="M10" s="12">
        <f>1-(H10+'Fixed costs'!$C$26)/D10</f>
        <v/>
      </c>
      <c r="N10">
        <f>$C$3*'Unit costs'!$B$2*(1-'Unit prices'!$E$57)</f>
        <v/>
      </c>
      <c r="O10" s="12">
        <f>1-H10/N10</f>
        <v/>
      </c>
    </row>
    <row r="11">
      <c r="A11" t="inlineStr">
        <is>
          <t>Starter</t>
        </is>
      </c>
      <c r="B11" t="inlineStr">
        <is>
          <t>50% use</t>
        </is>
      </c>
      <c r="C11" t="n">
        <v>0.5</v>
      </c>
      <c r="D11">
        <f>$B$3*(1-'Unit prices'!$E$57)</f>
        <v/>
      </c>
      <c r="E11">
        <f>C11*$E$3*30*$H$3</f>
        <v/>
      </c>
      <c r="F11">
        <f>C11*$F$3*$J$3</f>
        <v/>
      </c>
      <c r="G11">
        <f>C11*$D$3*$K$3</f>
        <v/>
      </c>
      <c r="H11">
        <f>E11+F11+G11</f>
        <v/>
      </c>
      <c r="I11" s="12">
        <f>1-H11/D11</f>
        <v/>
      </c>
      <c r="J11">
        <f>IF(I11&lt;0.6,"yes","")</f>
        <v/>
      </c>
      <c r="K11">
        <f>'Fixed costs'!$C$25</f>
        <v/>
      </c>
      <c r="L11" s="12">
        <f>1-(H11+K11)/D11</f>
        <v/>
      </c>
      <c r="M11" s="12">
        <f>1-(H11+'Fixed costs'!$C$26)/D11</f>
        <v/>
      </c>
      <c r="N11">
        <f>$C$3*'Unit costs'!$B$2*(1-'Unit prices'!$E$57)</f>
        <v/>
      </c>
      <c r="O11" s="12">
        <f>1-H11/N11</f>
        <v/>
      </c>
    </row>
    <row r="12">
      <c r="A12" t="inlineStr">
        <is>
          <t>Starter</t>
        </is>
      </c>
      <c r="B12" t="inlineStr">
        <is>
          <t>100% use</t>
        </is>
      </c>
      <c r="C12" t="n">
        <v>1</v>
      </c>
      <c r="D12">
        <f>$B$3*(1-'Unit prices'!$E$57)</f>
        <v/>
      </c>
      <c r="E12">
        <f>C12*$E$3*30*$H$3</f>
        <v/>
      </c>
      <c r="F12">
        <f>C12*$F$3*$J$3</f>
        <v/>
      </c>
      <c r="G12">
        <f>C12*$D$3*$K$3</f>
        <v/>
      </c>
      <c r="H12">
        <f>E12+F12+G12</f>
        <v/>
      </c>
      <c r="I12" s="12">
        <f>1-H12/D12</f>
        <v/>
      </c>
      <c r="J12">
        <f>IF(I12&lt;0.6,"yes","")</f>
        <v/>
      </c>
      <c r="K12">
        <f>'Fixed costs'!$C$25</f>
        <v/>
      </c>
      <c r="L12" s="12">
        <f>1-(H12+K12)/D12</f>
        <v/>
      </c>
      <c r="M12" s="12">
        <f>1-(H12+'Fixed costs'!$C$26)/D12</f>
        <v/>
      </c>
      <c r="N12">
        <f>$C$3*'Unit costs'!$B$2*(1-'Unit prices'!$E$57)</f>
        <v/>
      </c>
      <c r="O12" s="12">
        <f>1-H12/N12</f>
        <v/>
      </c>
    </row>
    <row r="13">
      <c r="A13" t="inlineStr">
        <is>
          <t>Starter</t>
        </is>
      </c>
      <c r="B13" t="inlineStr">
        <is>
          <t>worst case: all used, p90 on the default model</t>
        </is>
      </c>
      <c r="C13" t="n">
        <v>1</v>
      </c>
      <c r="D13">
        <f>$B$3*(1-'Unit prices'!$E$57)</f>
        <v/>
      </c>
      <c r="E13">
        <f>C13*$E$3*30*$L$3</f>
        <v/>
      </c>
      <c r="F13">
        <f>C13*$F$3*$M$3</f>
        <v/>
      </c>
      <c r="G13">
        <f>C13*$D$3*$K$3</f>
        <v/>
      </c>
      <c r="H13">
        <f>E13+F13+G13</f>
        <v/>
      </c>
      <c r="I13" s="12">
        <f>1-H13/D13</f>
        <v/>
      </c>
      <c r="J13">
        <f>IF(I13&lt;0.6,"yes","")</f>
        <v/>
      </c>
      <c r="K13">
        <f>'Fixed costs'!$C$25</f>
        <v/>
      </c>
      <c r="L13" s="12">
        <f>1-(H13+K13)/D13</f>
        <v/>
      </c>
      <c r="M13" s="12">
        <f>1-(H13+'Fixed costs'!$C$26)/D13</f>
        <v/>
      </c>
      <c r="N13">
        <f>$C$3*'Unit costs'!$B$2*(1-'Unit prices'!$E$57)</f>
        <v/>
      </c>
      <c r="O13" s="12">
        <f>1-H13/N13</f>
        <v/>
      </c>
    </row>
    <row r="14">
      <c r="A14" t="inlineStr">
        <is>
          <t>Starter</t>
        </is>
      </c>
      <c r="B14" t="inlineStr">
        <is>
          <t>if opus chat ran inside the allowance (rule says premium chat is credits)</t>
        </is>
      </c>
      <c r="C14" t="n">
        <v>1</v>
      </c>
      <c r="D14">
        <f>$B$3*(1-'Unit prices'!$E$57)</f>
        <v/>
      </c>
      <c r="E14">
        <f>C14*$E$3*30*$I$3</f>
        <v/>
      </c>
      <c r="F14">
        <f>C14*$F$3*$M$3</f>
        <v/>
      </c>
      <c r="G14">
        <f>C14*$D$3*$K$3</f>
        <v/>
      </c>
      <c r="H14">
        <f>E14+F14+G14</f>
        <v/>
      </c>
      <c r="I14" s="12">
        <f>1-H14/D14</f>
        <v/>
      </c>
      <c r="J14">
        <f>IF(I14&lt;0.6,"yes","")</f>
        <v/>
      </c>
      <c r="K14">
        <f>'Fixed costs'!$C$25</f>
        <v/>
      </c>
      <c r="L14" s="12">
        <f>1-(H14+K14)/D14</f>
        <v/>
      </c>
      <c r="M14" s="12">
        <f>1-(H14+'Fixed costs'!$C$26)/D14</f>
        <v/>
      </c>
      <c r="N14">
        <f>$C$3*'Unit costs'!$B$2*(1-'Unit prices'!$E$57)</f>
        <v/>
      </c>
      <c r="O14" s="12">
        <f>1-H14/N14</f>
        <v/>
      </c>
    </row>
    <row r="15">
      <c r="A15" t="inlineStr">
        <is>
          <t>Growth</t>
        </is>
      </c>
      <c r="B15" t="inlineStr">
        <is>
          <t>25% use</t>
        </is>
      </c>
      <c r="C15" t="n">
        <v>0.25</v>
      </c>
      <c r="D15">
        <f>$B$4*(1-'Unit prices'!$E$57)</f>
        <v/>
      </c>
      <c r="E15">
        <f>C15*$E$4*30*$H$4</f>
        <v/>
      </c>
      <c r="F15">
        <f>C15*$F$4*$J$4</f>
        <v/>
      </c>
      <c r="G15">
        <f>C15*$D$4*$K$4</f>
        <v/>
      </c>
      <c r="H15">
        <f>E15+F15+G15</f>
        <v/>
      </c>
      <c r="I15" s="12">
        <f>1-H15/D15</f>
        <v/>
      </c>
      <c r="J15">
        <f>IF(I15&lt;0.6,"yes","")</f>
        <v/>
      </c>
      <c r="K15">
        <f>'Fixed costs'!$C$25</f>
        <v/>
      </c>
      <c r="L15" s="12">
        <f>1-(H15+K15)/D15</f>
        <v/>
      </c>
      <c r="M15" s="12">
        <f>1-(H15+'Fixed costs'!$C$26)/D15</f>
        <v/>
      </c>
      <c r="N15">
        <f>$C$4*'Unit costs'!$B$2*(1-'Unit prices'!$E$57)</f>
        <v/>
      </c>
      <c r="O15" s="12">
        <f>1-H15/N15</f>
        <v/>
      </c>
    </row>
    <row r="16">
      <c r="A16" t="inlineStr">
        <is>
          <t>Growth</t>
        </is>
      </c>
      <c r="B16" t="inlineStr">
        <is>
          <t>50% use</t>
        </is>
      </c>
      <c r="C16" t="n">
        <v>0.5</v>
      </c>
      <c r="D16">
        <f>$B$4*(1-'Unit prices'!$E$57)</f>
        <v/>
      </c>
      <c r="E16">
        <f>C16*$E$4*30*$H$4</f>
        <v/>
      </c>
      <c r="F16">
        <f>C16*$F$4*$J$4</f>
        <v/>
      </c>
      <c r="G16">
        <f>C16*$D$4*$K$4</f>
        <v/>
      </c>
      <c r="H16">
        <f>E16+F16+G16</f>
        <v/>
      </c>
      <c r="I16" s="12">
        <f>1-H16/D16</f>
        <v/>
      </c>
      <c r="J16">
        <f>IF(I16&lt;0.6,"yes","")</f>
        <v/>
      </c>
      <c r="K16">
        <f>'Fixed costs'!$C$25</f>
        <v/>
      </c>
      <c r="L16" s="12">
        <f>1-(H16+K16)/D16</f>
        <v/>
      </c>
      <c r="M16" s="12">
        <f>1-(H16+'Fixed costs'!$C$26)/D16</f>
        <v/>
      </c>
      <c r="N16">
        <f>$C$4*'Unit costs'!$B$2*(1-'Unit prices'!$E$57)</f>
        <v/>
      </c>
      <c r="O16" s="12">
        <f>1-H16/N16</f>
        <v/>
      </c>
    </row>
    <row r="17">
      <c r="A17" t="inlineStr">
        <is>
          <t>Growth</t>
        </is>
      </c>
      <c r="B17" t="inlineStr">
        <is>
          <t>100% use</t>
        </is>
      </c>
      <c r="C17" t="n">
        <v>1</v>
      </c>
      <c r="D17">
        <f>$B$4*(1-'Unit prices'!$E$57)</f>
        <v/>
      </c>
      <c r="E17">
        <f>C17*$E$4*30*$H$4</f>
        <v/>
      </c>
      <c r="F17">
        <f>C17*$F$4*$J$4</f>
        <v/>
      </c>
      <c r="G17">
        <f>C17*$D$4*$K$4</f>
        <v/>
      </c>
      <c r="H17">
        <f>E17+F17+G17</f>
        <v/>
      </c>
      <c r="I17" s="12">
        <f>1-H17/D17</f>
        <v/>
      </c>
      <c r="J17">
        <f>IF(I17&lt;0.6,"yes","")</f>
        <v/>
      </c>
      <c r="K17">
        <f>'Fixed costs'!$C$25</f>
        <v/>
      </c>
      <c r="L17" s="12">
        <f>1-(H17+K17)/D17</f>
        <v/>
      </c>
      <c r="M17" s="12">
        <f>1-(H17+'Fixed costs'!$C$26)/D17</f>
        <v/>
      </c>
      <c r="N17">
        <f>$C$4*'Unit costs'!$B$2*(1-'Unit prices'!$E$57)</f>
        <v/>
      </c>
      <c r="O17" s="12">
        <f>1-H17/N17</f>
        <v/>
      </c>
    </row>
    <row r="18">
      <c r="A18" t="inlineStr">
        <is>
          <t>Growth</t>
        </is>
      </c>
      <c r="B18" t="inlineStr">
        <is>
          <t>worst case: all used, p90 on the default model</t>
        </is>
      </c>
      <c r="C18" t="n">
        <v>1</v>
      </c>
      <c r="D18">
        <f>$B$4*(1-'Unit prices'!$E$57)</f>
        <v/>
      </c>
      <c r="E18">
        <f>C18*$E$4*30*$L$4</f>
        <v/>
      </c>
      <c r="F18">
        <f>C18*$F$4*$M$4</f>
        <v/>
      </c>
      <c r="G18">
        <f>C18*$D$4*$K$4</f>
        <v/>
      </c>
      <c r="H18">
        <f>E18+F18+G18</f>
        <v/>
      </c>
      <c r="I18" s="12">
        <f>1-H18/D18</f>
        <v/>
      </c>
      <c r="J18">
        <f>IF(I18&lt;0.6,"yes","")</f>
        <v/>
      </c>
      <c r="K18">
        <f>'Fixed costs'!$C$25</f>
        <v/>
      </c>
      <c r="L18" s="12">
        <f>1-(H18+K18)/D18</f>
        <v/>
      </c>
      <c r="M18" s="12">
        <f>1-(H18+'Fixed costs'!$C$26)/D18</f>
        <v/>
      </c>
      <c r="N18">
        <f>$C$4*'Unit costs'!$B$2*(1-'Unit prices'!$E$57)</f>
        <v/>
      </c>
      <c r="O18" s="12">
        <f>1-H18/N18</f>
        <v/>
      </c>
    </row>
    <row r="19">
      <c r="A19" t="inlineStr">
        <is>
          <t>Growth</t>
        </is>
      </c>
      <c r="B19" t="inlineStr">
        <is>
          <t>if opus chat ran inside the allowance (rule says premium chat is credits)</t>
        </is>
      </c>
      <c r="C19" t="n">
        <v>1</v>
      </c>
      <c r="D19">
        <f>$B$4*(1-'Unit prices'!$E$57)</f>
        <v/>
      </c>
      <c r="E19">
        <f>C19*$E$4*30*$I$4</f>
        <v/>
      </c>
      <c r="F19">
        <f>C19*$F$4*$M$4</f>
        <v/>
      </c>
      <c r="G19">
        <f>C19*$D$4*$K$4</f>
        <v/>
      </c>
      <c r="H19">
        <f>E19+F19+G19</f>
        <v/>
      </c>
      <c r="I19" s="12">
        <f>1-H19/D19</f>
        <v/>
      </c>
      <c r="J19">
        <f>IF(I19&lt;0.6,"yes","")</f>
        <v/>
      </c>
      <c r="K19">
        <f>'Fixed costs'!$C$25</f>
        <v/>
      </c>
      <c r="L19" s="12">
        <f>1-(H19+K19)/D19</f>
        <v/>
      </c>
      <c r="M19" s="12">
        <f>1-(H19+'Fixed costs'!$C$26)/D19</f>
        <v/>
      </c>
      <c r="N19">
        <f>$C$4*'Unit costs'!$B$2*(1-'Unit prices'!$E$57)</f>
        <v/>
      </c>
      <c r="O19" s="12">
        <f>1-H19/N19</f>
        <v/>
      </c>
    </row>
    <row r="20">
      <c r="A20" t="inlineStr">
        <is>
          <t>Scale</t>
        </is>
      </c>
      <c r="B20" t="inlineStr">
        <is>
          <t>25% use</t>
        </is>
      </c>
      <c r="C20" t="n">
        <v>0.25</v>
      </c>
      <c r="D20">
        <f>$B$5*(1-'Unit prices'!$E$57)</f>
        <v/>
      </c>
      <c r="E20">
        <f>C20*$E$5*30*$H$5</f>
        <v/>
      </c>
      <c r="F20">
        <f>C20*$F$5*$J$5</f>
        <v/>
      </c>
      <c r="G20">
        <f>C20*$D$5*$K$5</f>
        <v/>
      </c>
      <c r="H20">
        <f>E20+F20+G20</f>
        <v/>
      </c>
      <c r="I20" s="12">
        <f>1-H20/D20</f>
        <v/>
      </c>
      <c r="J20">
        <f>IF(I20&lt;0.6,"yes","")</f>
        <v/>
      </c>
      <c r="K20">
        <f>'Fixed costs'!$C$25</f>
        <v/>
      </c>
      <c r="L20" s="12">
        <f>1-(H20+K20)/D20</f>
        <v/>
      </c>
      <c r="M20" s="12">
        <f>1-(H20+'Fixed costs'!$C$26)/D20</f>
        <v/>
      </c>
      <c r="N20">
        <f>$C$5*'Unit costs'!$B$2*(1-'Unit prices'!$E$57)</f>
        <v/>
      </c>
      <c r="O20" s="12">
        <f>1-H20/N20</f>
        <v/>
      </c>
    </row>
    <row r="21">
      <c r="A21" t="inlineStr">
        <is>
          <t>Scale</t>
        </is>
      </c>
      <c r="B21" t="inlineStr">
        <is>
          <t>50% use</t>
        </is>
      </c>
      <c r="C21" t="n">
        <v>0.5</v>
      </c>
      <c r="D21">
        <f>$B$5*(1-'Unit prices'!$E$57)</f>
        <v/>
      </c>
      <c r="E21">
        <f>C21*$E$5*30*$H$5</f>
        <v/>
      </c>
      <c r="F21">
        <f>C21*$F$5*$J$5</f>
        <v/>
      </c>
      <c r="G21">
        <f>C21*$D$5*$K$5</f>
        <v/>
      </c>
      <c r="H21">
        <f>E21+F21+G21</f>
        <v/>
      </c>
      <c r="I21" s="12">
        <f>1-H21/D21</f>
        <v/>
      </c>
      <c r="J21">
        <f>IF(I21&lt;0.6,"yes","")</f>
        <v/>
      </c>
      <c r="K21">
        <f>'Fixed costs'!$C$25</f>
        <v/>
      </c>
      <c r="L21" s="12">
        <f>1-(H21+K21)/D21</f>
        <v/>
      </c>
      <c r="M21" s="12">
        <f>1-(H21+'Fixed costs'!$C$26)/D21</f>
        <v/>
      </c>
      <c r="N21">
        <f>$C$5*'Unit costs'!$B$2*(1-'Unit prices'!$E$57)</f>
        <v/>
      </c>
      <c r="O21" s="12">
        <f>1-H21/N21</f>
        <v/>
      </c>
    </row>
    <row r="22">
      <c r="A22" t="inlineStr">
        <is>
          <t>Scale</t>
        </is>
      </c>
      <c r="B22" t="inlineStr">
        <is>
          <t>100% use</t>
        </is>
      </c>
      <c r="C22" t="n">
        <v>1</v>
      </c>
      <c r="D22">
        <f>$B$5*(1-'Unit prices'!$E$57)</f>
        <v/>
      </c>
      <c r="E22">
        <f>C22*$E$5*30*$H$5</f>
        <v/>
      </c>
      <c r="F22">
        <f>C22*$F$5*$J$5</f>
        <v/>
      </c>
      <c r="G22">
        <f>C22*$D$5*$K$5</f>
        <v/>
      </c>
      <c r="H22">
        <f>E22+F22+G22</f>
        <v/>
      </c>
      <c r="I22" s="12">
        <f>1-H22/D22</f>
        <v/>
      </c>
      <c r="J22">
        <f>IF(I22&lt;0.6,"yes","")</f>
        <v/>
      </c>
      <c r="K22">
        <f>'Fixed costs'!$C$25</f>
        <v/>
      </c>
      <c r="L22" s="12">
        <f>1-(H22+K22)/D22</f>
        <v/>
      </c>
      <c r="M22" s="12">
        <f>1-(H22+'Fixed costs'!$C$26)/D22</f>
        <v/>
      </c>
      <c r="N22">
        <f>$C$5*'Unit costs'!$B$2*(1-'Unit prices'!$E$57)</f>
        <v/>
      </c>
      <c r="O22" s="12">
        <f>1-H22/N22</f>
        <v/>
      </c>
    </row>
    <row r="23">
      <c r="A23" t="inlineStr">
        <is>
          <t>Scale</t>
        </is>
      </c>
      <c r="B23" t="inlineStr">
        <is>
          <t>worst case: all used, p90 on the default model</t>
        </is>
      </c>
      <c r="C23" t="n">
        <v>1</v>
      </c>
      <c r="D23">
        <f>$B$5*(1-'Unit prices'!$E$57)</f>
        <v/>
      </c>
      <c r="E23">
        <f>C23*$E$5*30*$L$5</f>
        <v/>
      </c>
      <c r="F23">
        <f>C23*$F$5*$M$5</f>
        <v/>
      </c>
      <c r="G23">
        <f>C23*$D$5*$K$5</f>
        <v/>
      </c>
      <c r="H23">
        <f>E23+F23+G23</f>
        <v/>
      </c>
      <c r="I23" s="12">
        <f>1-H23/D23</f>
        <v/>
      </c>
      <c r="J23">
        <f>IF(I23&lt;0.6,"yes","")</f>
        <v/>
      </c>
      <c r="K23">
        <f>'Fixed costs'!$C$25</f>
        <v/>
      </c>
      <c r="L23" s="12">
        <f>1-(H23+K23)/D23</f>
        <v/>
      </c>
      <c r="M23" s="12">
        <f>1-(H23+'Fixed costs'!$C$26)/D23</f>
        <v/>
      </c>
      <c r="N23">
        <f>$C$5*'Unit costs'!$B$2*(1-'Unit prices'!$E$57)</f>
        <v/>
      </c>
      <c r="O23" s="12">
        <f>1-H23/N23</f>
        <v/>
      </c>
    </row>
    <row r="24">
      <c r="A24" t="inlineStr">
        <is>
          <t>Scale</t>
        </is>
      </c>
      <c r="B24" t="inlineStr">
        <is>
          <t>if opus chat ran inside the allowance (rule says premium chat is credits)</t>
        </is>
      </c>
      <c r="C24" t="n">
        <v>1</v>
      </c>
      <c r="D24">
        <f>$B$5*(1-'Unit prices'!$E$57)</f>
        <v/>
      </c>
      <c r="E24">
        <f>C24*$E$5*30*$I$5</f>
        <v/>
      </c>
      <c r="F24">
        <f>C24*$F$5*$M$5</f>
        <v/>
      </c>
      <c r="G24">
        <f>C24*$D$5*$K$5</f>
        <v/>
      </c>
      <c r="H24">
        <f>E24+F24+G24</f>
        <v/>
      </c>
      <c r="I24" s="12">
        <f>1-H24/D24</f>
        <v/>
      </c>
      <c r="J24">
        <f>IF(I24&lt;0.6,"yes","")</f>
        <v/>
      </c>
      <c r="K24">
        <f>'Fixed costs'!$C$25</f>
        <v/>
      </c>
      <c r="L24" s="12">
        <f>1-(H24+K24)/D24</f>
        <v/>
      </c>
      <c r="M24" s="12">
        <f>1-(H24+'Fixed costs'!$C$26)/D24</f>
        <v/>
      </c>
      <c r="N24">
        <f>$C$5*'Unit costs'!$B$2*(1-'Unit prices'!$E$57)</f>
        <v/>
      </c>
      <c r="O24" s="12">
        <f>1-H24/N24</f>
        <v/>
      </c>
    </row>
    <row r="25"/>
    <row r="26">
      <c r="A26" s="7" t="inlineStr">
        <is>
          <t>Credit pack: 5,000 credits for INR 4,500 / USD 55</t>
        </is>
      </c>
    </row>
    <row r="27">
      <c r="A27" s="1" t="inlineStr">
        <is>
          <t>Pack</t>
        </is>
      </c>
      <c r="B27" s="1" t="inlineStr">
        <is>
          <t>Price INR</t>
        </is>
      </c>
      <c r="C27" s="1" t="inlineStr">
        <is>
          <t>Price USD</t>
        </is>
      </c>
      <c r="D27" s="1" t="inlineStr">
        <is>
          <t>Credits</t>
        </is>
      </c>
      <c r="E27" s="1" t="inlineStr">
        <is>
          <t>Cost if all spent at cost x multiple (INR)</t>
        </is>
      </c>
      <c r="F27" s="1" t="inlineStr">
        <is>
          <t>Gross margin India</t>
        </is>
      </c>
      <c r="G27" s="1" t="inlineStr">
        <is>
          <t>Global revenue INR</t>
        </is>
      </c>
      <c r="H27" s="1" t="inlineStr">
        <is>
          <t>Gross margin global</t>
        </is>
      </c>
    </row>
    <row r="28">
      <c r="A28" t="inlineStr">
        <is>
          <t>5,000 credits</t>
        </is>
      </c>
      <c r="B28" t="n">
        <v>4500</v>
      </c>
      <c r="C28" t="n">
        <v>55</v>
      </c>
      <c r="D28" t="n">
        <v>5000</v>
      </c>
      <c r="E28">
        <f>D28*'Unit costs'!$B$9/'Unit costs'!$B$7</f>
        <v/>
      </c>
      <c r="F28" s="12">
        <f>1-E28/(B28*(1-'Unit prices'!$E$57))</f>
        <v/>
      </c>
      <c r="G28">
        <f>C28*'Unit costs'!$B$2*(1-'Unit prices'!$E$57)</f>
        <v/>
      </c>
      <c r="H28" s="12">
        <f>1-E28/G28</f>
        <v/>
      </c>
    </row>
    <row r="29"/>
    <row r="30">
      <c r="A30" s="7" t="inlineStr">
        <is>
          <t>How many actions a plan's credits buy at the proposed prices (median cost x multiple, minimum applied)</t>
        </is>
      </c>
    </row>
    <row r="31">
      <c r="A31" s="1" t="inlineStr">
        <is>
          <t>Plan</t>
        </is>
      </c>
      <c r="B31" s="1" t="inlineStr">
        <is>
          <t>Credits</t>
        </is>
      </c>
      <c r="C31" s="1" t="inlineStr">
        <is>
          <t>Chat messages (default)</t>
        </is>
      </c>
      <c r="D31" s="1" t="inlineStr">
        <is>
          <t>Chat messages (gpt-5)</t>
        </is>
      </c>
      <c r="E31" s="1" t="inlineStr">
        <is>
          <t>Task runs</t>
        </is>
      </c>
      <c r="F31" s="1" t="inlineStr">
        <is>
          <t>Knowledge answers</t>
        </is>
      </c>
      <c r="G31" s="1" t="inlineStr">
        <is>
          <t>Tool calls (at minimum)</t>
        </is>
      </c>
      <c r="H31" s="1" t="inlineStr">
        <is>
          <t>WhatsApp utility (at minimum)</t>
        </is>
      </c>
    </row>
    <row r="32">
      <c r="A32" t="inlineStr">
        <is>
          <t>Starter</t>
        </is>
      </c>
      <c r="B32">
        <f>$D$3</f>
        <v/>
      </c>
      <c r="C32">
        <f>ROUNDDOWN(B32/'Unit costs'!$Q$14,0)</f>
        <v/>
      </c>
      <c r="D32">
        <f>ROUNDDOWN(B32/'Unit costs'!$Q$16,0)</f>
        <v/>
      </c>
      <c r="E32">
        <f>ROUNDDOWN(B32/'Unit costs'!$Q$24,0)</f>
        <v/>
      </c>
      <c r="F32">
        <f>ROUNDDOWN(B32/'Unit costs'!$Q$36,0)</f>
        <v/>
      </c>
      <c r="G32">
        <f>ROUNDDOWN(B32/'Unit costs'!$Q$30,0)</f>
        <v/>
      </c>
      <c r="H32">
        <f>ROUNDDOWN(B32/'Unit costs'!$Q$54,0)</f>
        <v/>
      </c>
    </row>
    <row r="33">
      <c r="A33" t="inlineStr">
        <is>
          <t>Growth</t>
        </is>
      </c>
      <c r="B33">
        <f>$D$4</f>
        <v/>
      </c>
      <c r="C33">
        <f>ROUNDDOWN(B33/'Unit costs'!$Q$14,0)</f>
        <v/>
      </c>
      <c r="D33">
        <f>ROUNDDOWN(B33/'Unit costs'!$Q$16,0)</f>
        <v/>
      </c>
      <c r="E33">
        <f>ROUNDDOWN(B33/'Unit costs'!$Q$24,0)</f>
        <v/>
      </c>
      <c r="F33">
        <f>ROUNDDOWN(B33/'Unit costs'!$Q$36,0)</f>
        <v/>
      </c>
      <c r="G33">
        <f>ROUNDDOWN(B33/'Unit costs'!$Q$30,0)</f>
        <v/>
      </c>
      <c r="H33">
        <f>ROUNDDOWN(B33/'Unit costs'!$Q$54,0)</f>
        <v/>
      </c>
    </row>
    <row r="34">
      <c r="A34" t="inlineStr">
        <is>
          <t>Scale</t>
        </is>
      </c>
      <c r="B34">
        <f>$D$5</f>
        <v/>
      </c>
      <c r="C34">
        <f>ROUNDDOWN(B34/'Unit costs'!$Q$14,0)</f>
        <v/>
      </c>
      <c r="D34">
        <f>ROUNDDOWN(B34/'Unit costs'!$Q$16,0)</f>
        <v/>
      </c>
      <c r="E34">
        <f>ROUNDDOWN(B34/'Unit costs'!$Q$24,0)</f>
        <v/>
      </c>
      <c r="F34">
        <f>ROUNDDOWN(B34/'Unit costs'!$Q$36,0)</f>
        <v/>
      </c>
      <c r="G34">
        <f>ROUNDDOWN(B34/'Unit costs'!$Q$30,0)</f>
        <v/>
      </c>
      <c r="H34">
        <f>ROUNDDOWN(B34/'Unit costs'!$Q$54,0)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7" t="inlineStr">
        <is>
          <t>Proposed voice prices (all-in, from the audit prompt)</t>
        </is>
      </c>
    </row>
    <row r="2">
      <c r="A2" s="1" t="inlineStr">
        <is>
          <t>Offer</t>
        </is>
      </c>
      <c r="B2" s="1" t="inlineStr">
        <is>
          <t>Price per minute INR</t>
        </is>
      </c>
      <c r="C2" s="1" t="inlineStr">
        <is>
          <t>Price per minute USD</t>
        </is>
      </c>
      <c r="D2" s="1" t="inlineStr">
        <is>
          <t>Basis</t>
        </is>
      </c>
    </row>
    <row r="3">
      <c r="A3" t="inlineStr">
        <is>
          <t>India pay-as-you-go</t>
        </is>
      </c>
      <c r="B3" t="n">
        <v>6</v>
      </c>
      <c r="C3">
        <f>B3/'Unit costs'!$B$2</f>
        <v/>
      </c>
      <c r="D3" t="inlineStr">
        <is>
          <t>INR 6/min</t>
        </is>
      </c>
    </row>
    <row r="4">
      <c r="A4" t="inlineStr">
        <is>
          <t>India pack 500 min at INR 2,750</t>
        </is>
      </c>
      <c r="B4" t="n">
        <v>5.5</v>
      </c>
      <c r="C4">
        <f>B4/'Unit costs'!$B$2</f>
        <v/>
      </c>
      <c r="D4" t="inlineStr">
        <is>
          <t>INR 5.50/min</t>
        </is>
      </c>
    </row>
    <row r="5">
      <c r="A5" t="inlineStr">
        <is>
          <t>India pack 2,000 min at INR 10,000</t>
        </is>
      </c>
      <c r="B5" t="n">
        <v>5</v>
      </c>
      <c r="C5">
        <f>B5/'Unit costs'!$B$2</f>
        <v/>
      </c>
      <c r="D5" t="inlineStr">
        <is>
          <t>INR 5.00/min</t>
        </is>
      </c>
    </row>
    <row r="6">
      <c r="A6" t="inlineStr">
        <is>
          <t>Global pay-as-you-go</t>
        </is>
      </c>
      <c r="B6">
        <f>C6*'Unit costs'!$B$2</f>
        <v/>
      </c>
      <c r="C6" t="n">
        <v>0.18</v>
      </c>
      <c r="D6" t="inlineStr">
        <is>
          <t>USD 0.18/min</t>
        </is>
      </c>
    </row>
    <row r="7">
      <c r="A7" t="inlineStr">
        <is>
          <t>Global pack 500 min at USD 80</t>
        </is>
      </c>
      <c r="B7">
        <f>C7*'Unit costs'!$B$2</f>
        <v/>
      </c>
      <c r="C7" t="n">
        <v>0.16</v>
      </c>
      <c r="D7" t="inlineStr">
        <is>
          <t>USD 0.16/min</t>
        </is>
      </c>
    </row>
    <row r="8">
      <c r="A8" t="inlineStr">
        <is>
          <t>Global pack 2,000 min at USD 300</t>
        </is>
      </c>
      <c r="B8">
        <f>C8*'Unit costs'!$B$2</f>
        <v/>
      </c>
      <c r="C8" t="n">
        <v>0.15</v>
      </c>
      <c r="D8" t="inlineStr">
        <is>
          <t>USD 0.15/min</t>
        </is>
      </c>
    </row>
    <row r="9"/>
    <row r="10">
      <c r="A10" s="7" t="inlineStr">
        <is>
          <t>Gross margin per minute by stack and offer (cost from Unit costs, median case; MDR deducted from the price)</t>
        </is>
      </c>
    </row>
    <row r="11">
      <c r="A11" s="1" t="inlineStr">
        <is>
          <t>Stack</t>
        </is>
      </c>
      <c r="B11" s="1" t="inlineStr">
        <is>
          <t>Offer</t>
        </is>
      </c>
      <c r="C11" s="1" t="inlineStr">
        <is>
          <t>Cost INR / min</t>
        </is>
      </c>
      <c r="D11" s="1" t="inlineStr">
        <is>
          <t>Price INR / min (net of MDR)</t>
        </is>
      </c>
      <c r="E11" s="1" t="inlineStr">
        <is>
          <t>Gross margin</t>
        </is>
      </c>
      <c r="F11" s="1" t="inlineStr">
        <is>
          <t>Margin &lt; 60%?</t>
        </is>
      </c>
      <c r="G11" s="1" t="inlineStr">
        <is>
          <t>Cost p90 INR / min</t>
        </is>
      </c>
      <c r="H11" s="1" t="inlineStr">
        <is>
          <t>Margin at p90</t>
        </is>
      </c>
    </row>
    <row r="12">
      <c r="A12" t="inlineStr">
        <is>
          <t>6a. Voice minute, Indic stack, India (Sarvam STT + gpt-4.1-mini + Sarvam TTS + Plivo)</t>
        </is>
      </c>
      <c r="B12" t="inlineStr">
        <is>
          <t>India pay-as-you-go</t>
        </is>
      </c>
      <c r="C12">
        <f>'Unit costs'!$P$38</f>
        <v/>
      </c>
      <c r="D12">
        <f>$B$3*(1-'Unit prices'!$E$57)</f>
        <v/>
      </c>
      <c r="E12" s="12">
        <f>1-C12/D12</f>
        <v/>
      </c>
      <c r="F12">
        <f>IF(E12&lt;0.6,"yes","")</f>
        <v/>
      </c>
      <c r="G12">
        <f>'Unit costs'!$P$39</f>
        <v/>
      </c>
      <c r="H12" s="12">
        <f>1-G12/D12</f>
        <v/>
      </c>
    </row>
    <row r="13">
      <c r="A13" t="inlineStr">
        <is>
          <t>6a. Voice minute, Indic stack, India (Sarvam STT + gpt-4.1-mini + Sarvam TTS + Plivo)</t>
        </is>
      </c>
      <c r="B13" t="inlineStr">
        <is>
          <t>India pack 500 min at INR 2,750</t>
        </is>
      </c>
      <c r="C13">
        <f>'Unit costs'!$P$38</f>
        <v/>
      </c>
      <c r="D13">
        <f>$B$4*(1-'Unit prices'!$E$57)</f>
        <v/>
      </c>
      <c r="E13" s="12">
        <f>1-C13/D13</f>
        <v/>
      </c>
      <c r="F13">
        <f>IF(E13&lt;0.6,"yes","")</f>
        <v/>
      </c>
      <c r="G13">
        <f>'Unit costs'!$P$39</f>
        <v/>
      </c>
      <c r="H13" s="12">
        <f>1-G13/D13</f>
        <v/>
      </c>
    </row>
    <row r="14">
      <c r="A14" t="inlineStr">
        <is>
          <t>6a. Voice minute, Indic stack, India (Sarvam STT + gpt-4.1-mini + Sarvam TTS + Plivo)</t>
        </is>
      </c>
      <c r="B14" t="inlineStr">
        <is>
          <t>India pack 2,000 min at INR 10,000</t>
        </is>
      </c>
      <c r="C14">
        <f>'Unit costs'!$P$38</f>
        <v/>
      </c>
      <c r="D14">
        <f>$B$5*(1-'Unit prices'!$E$57)</f>
        <v/>
      </c>
      <c r="E14" s="12">
        <f>1-C14/D14</f>
        <v/>
      </c>
      <c r="F14">
        <f>IF(E14&lt;0.6,"yes","")</f>
        <v/>
      </c>
      <c r="G14">
        <f>'Unit costs'!$P$39</f>
        <v/>
      </c>
      <c r="H14" s="12">
        <f>1-G14/D14</f>
        <v/>
      </c>
    </row>
    <row r="15">
      <c r="A15" t="inlineStr">
        <is>
          <t>6c. Voice minute, natural voice (Smallest Lightning Pro TTS), India</t>
        </is>
      </c>
      <c r="B15" t="inlineStr">
        <is>
          <t>India pay-as-you-go</t>
        </is>
      </c>
      <c r="C15">
        <f>'Unit costs'!$P$42</f>
        <v/>
      </c>
      <c r="D15">
        <f>$B$3*(1-'Unit prices'!$E$57)</f>
        <v/>
      </c>
      <c r="E15" s="12">
        <f>1-C15/D15</f>
        <v/>
      </c>
      <c r="F15">
        <f>IF(E15&lt;0.6,"yes","")</f>
        <v/>
      </c>
      <c r="G15">
        <f>'Unit costs'!$P$43</f>
        <v/>
      </c>
      <c r="H15" s="12">
        <f>1-G15/D15</f>
        <v/>
      </c>
    </row>
    <row r="16">
      <c r="A16" t="inlineStr">
        <is>
          <t>6c. Voice minute, natural voice (Smallest Lightning Pro TTS), India</t>
        </is>
      </c>
      <c r="B16" t="inlineStr">
        <is>
          <t>India pack 500 min at INR 2,750</t>
        </is>
      </c>
      <c r="C16">
        <f>'Unit costs'!$P$42</f>
        <v/>
      </c>
      <c r="D16">
        <f>$B$4*(1-'Unit prices'!$E$57)</f>
        <v/>
      </c>
      <c r="E16" s="12">
        <f>1-C16/D16</f>
        <v/>
      </c>
      <c r="F16">
        <f>IF(E16&lt;0.6,"yes","")</f>
        <v/>
      </c>
      <c r="G16">
        <f>'Unit costs'!$P$43</f>
        <v/>
      </c>
      <c r="H16" s="12">
        <f>1-G16/D16</f>
        <v/>
      </c>
    </row>
    <row r="17">
      <c r="A17" t="inlineStr">
        <is>
          <t>6c. Voice minute, natural voice (Smallest Lightning Pro TTS), India</t>
        </is>
      </c>
      <c r="B17" t="inlineStr">
        <is>
          <t>India pack 2,000 min at INR 10,000</t>
        </is>
      </c>
      <c r="C17">
        <f>'Unit costs'!$P$42</f>
        <v/>
      </c>
      <c r="D17">
        <f>$B$5*(1-'Unit prices'!$E$57)</f>
        <v/>
      </c>
      <c r="E17" s="12">
        <f>1-C17/D17</f>
        <v/>
      </c>
      <c r="F17">
        <f>IF(E17&lt;0.6,"yes","")</f>
        <v/>
      </c>
      <c r="G17">
        <f>'Unit costs'!$P$43</f>
        <v/>
      </c>
      <c r="H17" s="12">
        <f>1-G17/D17</f>
        <v/>
      </c>
    </row>
    <row r="18">
      <c r="A18" t="inlineStr">
        <is>
          <t>6d. Voice minute, premium voice (ElevenLabs Flash TTS), India</t>
        </is>
      </c>
      <c r="B18" t="inlineStr">
        <is>
          <t>India pay-as-you-go</t>
        </is>
      </c>
      <c r="C18">
        <f>'Unit costs'!$P$44</f>
        <v/>
      </c>
      <c r="D18">
        <f>$B$3*(1-'Unit prices'!$E$57)</f>
        <v/>
      </c>
      <c r="E18" s="12">
        <f>1-C18/D18</f>
        <v/>
      </c>
      <c r="F18">
        <f>IF(E18&lt;0.6,"yes","")</f>
        <v/>
      </c>
      <c r="G18">
        <f>'Unit costs'!$P$45</f>
        <v/>
      </c>
      <c r="H18" s="12">
        <f>1-G18/D18</f>
        <v/>
      </c>
    </row>
    <row r="19">
      <c r="A19" t="inlineStr">
        <is>
          <t>6d. Voice minute, premium voice (ElevenLabs Flash TTS), India</t>
        </is>
      </c>
      <c r="B19" t="inlineStr">
        <is>
          <t>India pack 500 min at INR 2,750</t>
        </is>
      </c>
      <c r="C19">
        <f>'Unit costs'!$P$44</f>
        <v/>
      </c>
      <c r="D19">
        <f>$B$4*(1-'Unit prices'!$E$57)</f>
        <v/>
      </c>
      <c r="E19" s="12">
        <f>1-C19/D19</f>
        <v/>
      </c>
      <c r="F19">
        <f>IF(E19&lt;0.6,"yes","")</f>
        <v/>
      </c>
      <c r="G19">
        <f>'Unit costs'!$P$45</f>
        <v/>
      </c>
      <c r="H19" s="12">
        <f>1-G19/D19</f>
        <v/>
      </c>
    </row>
    <row r="20">
      <c r="A20" t="inlineStr">
        <is>
          <t>6d. Voice minute, premium voice (ElevenLabs Flash TTS), India</t>
        </is>
      </c>
      <c r="B20" t="inlineStr">
        <is>
          <t>India pack 2,000 min at INR 10,000</t>
        </is>
      </c>
      <c r="C20">
        <f>'Unit costs'!$P$44</f>
        <v/>
      </c>
      <c r="D20">
        <f>$B$5*(1-'Unit prices'!$E$57)</f>
        <v/>
      </c>
      <c r="E20" s="12">
        <f>1-C20/D20</f>
        <v/>
      </c>
      <c r="F20">
        <f>IF(E20&lt;0.6,"yes","")</f>
        <v/>
      </c>
      <c r="G20">
        <f>'Unit costs'!$P$45</f>
        <v/>
      </c>
      <c r="H20" s="12">
        <f>1-G20/D20</f>
        <v/>
      </c>
    </row>
    <row r="21">
      <c r="A21" t="inlineStr">
        <is>
          <t>6e. Voice minute, Gemini Live, India</t>
        </is>
      </c>
      <c r="B21" t="inlineStr">
        <is>
          <t>India pay-as-you-go</t>
        </is>
      </c>
      <c r="C21">
        <f>'Unit costs'!$P$46</f>
        <v/>
      </c>
      <c r="D21">
        <f>$B$3*(1-'Unit prices'!$E$57)</f>
        <v/>
      </c>
      <c r="E21" s="12">
        <f>1-C21/D21</f>
        <v/>
      </c>
      <c r="F21">
        <f>IF(E21&lt;0.6,"yes","")</f>
        <v/>
      </c>
      <c r="G21">
        <f>'Unit costs'!$P$47</f>
        <v/>
      </c>
      <c r="H21" s="12">
        <f>1-G21/D21</f>
        <v/>
      </c>
    </row>
    <row r="22">
      <c r="A22" t="inlineStr">
        <is>
          <t>6e. Voice minute, Gemini Live, India</t>
        </is>
      </c>
      <c r="B22" t="inlineStr">
        <is>
          <t>India pack 500 min at INR 2,750</t>
        </is>
      </c>
      <c r="C22">
        <f>'Unit costs'!$P$46</f>
        <v/>
      </c>
      <c r="D22">
        <f>$B$4*(1-'Unit prices'!$E$57)</f>
        <v/>
      </c>
      <c r="E22" s="12">
        <f>1-C22/D22</f>
        <v/>
      </c>
      <c r="F22">
        <f>IF(E22&lt;0.6,"yes","")</f>
        <v/>
      </c>
      <c r="G22">
        <f>'Unit costs'!$P$47</f>
        <v/>
      </c>
      <c r="H22" s="12">
        <f>1-G22/D22</f>
        <v/>
      </c>
    </row>
    <row r="23">
      <c r="A23" t="inlineStr">
        <is>
          <t>6e. Voice minute, Gemini Live, India</t>
        </is>
      </c>
      <c r="B23" t="inlineStr">
        <is>
          <t>India pack 2,000 min at INR 10,000</t>
        </is>
      </c>
      <c r="C23">
        <f>'Unit costs'!$P$46</f>
        <v/>
      </c>
      <c r="D23">
        <f>$B$5*(1-'Unit prices'!$E$57)</f>
        <v/>
      </c>
      <c r="E23" s="12">
        <f>1-C23/D23</f>
        <v/>
      </c>
      <c r="F23">
        <f>IF(E23&lt;0.6,"yes","")</f>
        <v/>
      </c>
      <c r="G23">
        <f>'Unit costs'!$P$47</f>
        <v/>
      </c>
      <c r="H23" s="12">
        <f>1-G23/D23</f>
        <v/>
      </c>
    </row>
    <row r="24">
      <c r="A24" t="inlineStr">
        <is>
          <t>6f. Voice minute, OpenAI realtime premium, India</t>
        </is>
      </c>
      <c r="B24" t="inlineStr">
        <is>
          <t>India pay-as-you-go</t>
        </is>
      </c>
      <c r="C24">
        <f>'Unit costs'!$P$48</f>
        <v/>
      </c>
      <c r="D24">
        <f>$B$3*(1-'Unit prices'!$E$57)</f>
        <v/>
      </c>
      <c r="E24" s="12">
        <f>1-C24/D24</f>
        <v/>
      </c>
      <c r="F24">
        <f>IF(E24&lt;0.6,"yes","")</f>
        <v/>
      </c>
      <c r="G24">
        <f>'Unit costs'!$P$49</f>
        <v/>
      </c>
      <c r="H24" s="12">
        <f>1-G24/D24</f>
        <v/>
      </c>
    </row>
    <row r="25">
      <c r="A25" t="inlineStr">
        <is>
          <t>6f. Voice minute, OpenAI realtime premium, India</t>
        </is>
      </c>
      <c r="B25" t="inlineStr">
        <is>
          <t>India pack 500 min at INR 2,750</t>
        </is>
      </c>
      <c r="C25">
        <f>'Unit costs'!$P$48</f>
        <v/>
      </c>
      <c r="D25">
        <f>$B$4*(1-'Unit prices'!$E$57)</f>
        <v/>
      </c>
      <c r="E25" s="12">
        <f>1-C25/D25</f>
        <v/>
      </c>
      <c r="F25">
        <f>IF(E25&lt;0.6,"yes","")</f>
        <v/>
      </c>
      <c r="G25">
        <f>'Unit costs'!$P$49</f>
        <v/>
      </c>
      <c r="H25" s="12">
        <f>1-G25/D25</f>
        <v/>
      </c>
    </row>
    <row r="26">
      <c r="A26" t="inlineStr">
        <is>
          <t>6f. Voice minute, OpenAI realtime premium, India</t>
        </is>
      </c>
      <c r="B26" t="inlineStr">
        <is>
          <t>India pack 2,000 min at INR 10,000</t>
        </is>
      </c>
      <c r="C26">
        <f>'Unit costs'!$P$48</f>
        <v/>
      </c>
      <c r="D26">
        <f>$B$5*(1-'Unit prices'!$E$57)</f>
        <v/>
      </c>
      <c r="E26" s="12">
        <f>1-C26/D26</f>
        <v/>
      </c>
      <c r="F26">
        <f>IF(E26&lt;0.6,"yes","")</f>
        <v/>
      </c>
      <c r="G26">
        <f>'Unit costs'!$P$49</f>
        <v/>
      </c>
      <c r="H26" s="12">
        <f>1-G26/D26</f>
        <v/>
      </c>
    </row>
    <row r="27">
      <c r="A27" t="inlineStr">
        <is>
          <t>6g. Voice minute, overseas (Deepgram Flux + gpt-4.1-mini + ElevenLabs + Twilio US)</t>
        </is>
      </c>
      <c r="B27" t="inlineStr">
        <is>
          <t>Global pay-as-you-go</t>
        </is>
      </c>
      <c r="C27">
        <f>'Unit costs'!$P$50</f>
        <v/>
      </c>
      <c r="D27">
        <f>$B$6*(1-'Unit prices'!$E$57)</f>
        <v/>
      </c>
      <c r="E27" s="12">
        <f>1-C27/D27</f>
        <v/>
      </c>
      <c r="F27">
        <f>IF(E27&lt;0.6,"yes","")</f>
        <v/>
      </c>
      <c r="G27">
        <f>'Unit costs'!$P$51</f>
        <v/>
      </c>
      <c r="H27" s="12">
        <f>1-G27/D27</f>
        <v/>
      </c>
    </row>
    <row r="28">
      <c r="A28" t="inlineStr">
        <is>
          <t>6g. Voice minute, overseas (Deepgram Flux + gpt-4.1-mini + ElevenLabs + Twilio US)</t>
        </is>
      </c>
      <c r="B28" t="inlineStr">
        <is>
          <t>Global pack 500 min at USD 80</t>
        </is>
      </c>
      <c r="C28">
        <f>'Unit costs'!$P$50</f>
        <v/>
      </c>
      <c r="D28">
        <f>$B$7*(1-'Unit prices'!$E$57)</f>
        <v/>
      </c>
      <c r="E28" s="12">
        <f>1-C28/D28</f>
        <v/>
      </c>
      <c r="F28">
        <f>IF(E28&lt;0.6,"yes","")</f>
        <v/>
      </c>
      <c r="G28">
        <f>'Unit costs'!$P$51</f>
        <v/>
      </c>
      <c r="H28" s="12">
        <f>1-G28/D28</f>
        <v/>
      </c>
    </row>
    <row r="29">
      <c r="A29" t="inlineStr">
        <is>
          <t>6g. Voice minute, overseas (Deepgram Flux + gpt-4.1-mini + ElevenLabs + Twilio US)</t>
        </is>
      </c>
      <c r="B29" t="inlineStr">
        <is>
          <t>Global pack 2,000 min at USD 300</t>
        </is>
      </c>
      <c r="C29">
        <f>'Unit costs'!$P$50</f>
        <v/>
      </c>
      <c r="D29">
        <f>$B$8*(1-'Unit prices'!$E$57)</f>
        <v/>
      </c>
      <c r="E29" s="12">
        <f>1-C29/D29</f>
        <v/>
      </c>
      <c r="F29">
        <f>IF(E29&lt;0.6,"yes","")</f>
        <v/>
      </c>
      <c r="G29">
        <f>'Unit costs'!$P$51</f>
        <v/>
      </c>
      <c r="H29" s="12">
        <f>1-G29/D29</f>
        <v/>
      </c>
    </row>
    <row r="30">
      <c r="A30" t="inlineStr">
        <is>
          <t>6h. Voice minute, overseas, Gemini Live + Twilio US</t>
        </is>
      </c>
      <c r="B30" t="inlineStr">
        <is>
          <t>Global pay-as-you-go</t>
        </is>
      </c>
      <c r="C30">
        <f>'Unit costs'!$P$52</f>
        <v/>
      </c>
      <c r="D30">
        <f>$B$6*(1-'Unit prices'!$E$57)</f>
        <v/>
      </c>
      <c r="E30" s="12">
        <f>1-C30/D30</f>
        <v/>
      </c>
      <c r="F30">
        <f>IF(E30&lt;0.6,"yes","")</f>
        <v/>
      </c>
      <c r="G30">
        <f>'Unit costs'!$P$53</f>
        <v/>
      </c>
      <c r="H30" s="12">
        <f>1-G30/D30</f>
        <v/>
      </c>
    </row>
    <row r="31">
      <c r="A31" t="inlineStr">
        <is>
          <t>6h. Voice minute, overseas, Gemini Live + Twilio US</t>
        </is>
      </c>
      <c r="B31" t="inlineStr">
        <is>
          <t>Global pack 500 min at USD 80</t>
        </is>
      </c>
      <c r="C31">
        <f>'Unit costs'!$P$52</f>
        <v/>
      </c>
      <c r="D31">
        <f>$B$7*(1-'Unit prices'!$E$57)</f>
        <v/>
      </c>
      <c r="E31" s="12">
        <f>1-C31/D31</f>
        <v/>
      </c>
      <c r="F31">
        <f>IF(E31&lt;0.6,"yes","")</f>
        <v/>
      </c>
      <c r="G31">
        <f>'Unit costs'!$P$53</f>
        <v/>
      </c>
      <c r="H31" s="12">
        <f>1-G31/D31</f>
        <v/>
      </c>
    </row>
    <row r="32">
      <c r="A32" t="inlineStr">
        <is>
          <t>6h. Voice minute, overseas, Gemini Live + Twilio US</t>
        </is>
      </c>
      <c r="B32" t="inlineStr">
        <is>
          <t>Global pack 2,000 min at USD 300</t>
        </is>
      </c>
      <c r="C32">
        <f>'Unit costs'!$P$52</f>
        <v/>
      </c>
      <c r="D32">
        <f>$B$8*(1-'Unit prices'!$E$57)</f>
        <v/>
      </c>
      <c r="E32" s="12">
        <f>1-C32/D32</f>
        <v/>
      </c>
      <c r="F32">
        <f>IF(E32&lt;0.6,"yes","")</f>
        <v/>
      </c>
      <c r="G32">
        <f>'Unit costs'!$P$53</f>
        <v/>
      </c>
      <c r="H32" s="12">
        <f>1-G32/D32</f>
        <v/>
      </c>
    </row>
    <row r="33">
      <c r="A33" t="inlineStr">
        <is>
          <t>6f. Voice minute, OpenAI realtime premium, India</t>
        </is>
      </c>
      <c r="B33" t="inlineStr">
        <is>
          <t>Global pay-as-you-go</t>
        </is>
      </c>
      <c r="C33">
        <f>'Unit costs'!$P$48</f>
        <v/>
      </c>
      <c r="D33">
        <f>$B$6*(1-'Unit prices'!$E$57)</f>
        <v/>
      </c>
      <c r="E33" s="12">
        <f>1-C33/D33</f>
        <v/>
      </c>
      <c r="F33">
        <f>IF(E33&lt;0.6,"yes","")</f>
        <v/>
      </c>
      <c r="G33">
        <f>'Unit costs'!$P$49</f>
        <v/>
      </c>
      <c r="H33" s="12">
        <f>1-G33/D33</f>
        <v/>
      </c>
    </row>
    <row r="34">
      <c r="A34" t="inlineStr">
        <is>
          <t>6f. Voice minute, OpenAI realtime premium, India</t>
        </is>
      </c>
      <c r="B34" t="inlineStr">
        <is>
          <t>Global pack 500 min at USD 80</t>
        </is>
      </c>
      <c r="C34">
        <f>'Unit costs'!$P$48</f>
        <v/>
      </c>
      <c r="D34">
        <f>$B$7*(1-'Unit prices'!$E$57)</f>
        <v/>
      </c>
      <c r="E34" s="12">
        <f>1-C34/D34</f>
        <v/>
      </c>
      <c r="F34">
        <f>IF(E34&lt;0.6,"yes","")</f>
        <v/>
      </c>
      <c r="G34">
        <f>'Unit costs'!$P$49</f>
        <v/>
      </c>
      <c r="H34" s="12">
        <f>1-G34/D34</f>
        <v/>
      </c>
    </row>
    <row r="35">
      <c r="A35" t="inlineStr">
        <is>
          <t>6f. Voice minute, OpenAI realtime premium, India</t>
        </is>
      </c>
      <c r="B35" t="inlineStr">
        <is>
          <t>Global pack 2,000 min at USD 300</t>
        </is>
      </c>
      <c r="C35">
        <f>'Unit costs'!$P$48</f>
        <v/>
      </c>
      <c r="D35">
        <f>$B$8*(1-'Unit prices'!$E$57)</f>
        <v/>
      </c>
      <c r="E35" s="12">
        <f>1-C35/D35</f>
        <v/>
      </c>
      <c r="F35">
        <f>IF(E35&lt;0.6,"yes","")</f>
        <v/>
      </c>
      <c r="G35">
        <f>'Unit costs'!$P$49</f>
        <v/>
      </c>
      <c r="H35" s="12">
        <f>1-G35/D35</f>
        <v/>
      </c>
    </row>
    <row r="36"/>
    <row r="37">
      <c r="A37" s="7" t="inlineStr">
        <is>
          <t>Phone number: proposed INR 500 / USD 5 a month against carrier cost</t>
        </is>
      </c>
    </row>
    <row r="38">
      <c r="A38" s="1" t="inlineStr">
        <is>
          <t>Number</t>
        </is>
      </c>
      <c r="B38" s="1" t="inlineStr">
        <is>
          <t>Price INR</t>
        </is>
      </c>
      <c r="C38" s="1" t="inlineStr">
        <is>
          <t>Cost INR</t>
        </is>
      </c>
      <c r="D38" s="1" t="inlineStr">
        <is>
          <t>Gross margin</t>
        </is>
      </c>
    </row>
    <row r="39">
      <c r="A39" t="inlineStr">
        <is>
          <t>India (Plivo)</t>
        </is>
      </c>
      <c r="B39" t="n">
        <v>500</v>
      </c>
      <c r="C39">
        <f>'Unit prices'!$E$48</f>
        <v/>
      </c>
      <c r="D39" s="12">
        <f>1-C39/B39</f>
        <v/>
      </c>
    </row>
    <row r="40">
      <c r="A40" t="inlineStr">
        <is>
          <t>US (Twilio)</t>
        </is>
      </c>
      <c r="B40">
        <f>5*'Unit costs'!$B$2</f>
        <v/>
      </c>
      <c r="C40">
        <f>'Unit prices'!$E$50*'Unit costs'!$B$2</f>
        <v/>
      </c>
      <c r="D40" s="12">
        <f>1-C40/B40</f>
        <v/>
      </c>
    </row>
    <row r="41"/>
    <row r="42">
      <c r="A42" t="inlineStr">
        <is>
          <t>What production charges today for the same minute (charge_rule flag off): Business 650 paise, Growth 600, Scale 550 per minute (services/configuration/bundles.py:81-82)</t>
        </is>
      </c>
    </row>
    <row r="43">
      <c r="A43" t="inlineStr">
        <is>
          <t>Today's Business minute, INR</t>
        </is>
      </c>
      <c r="B43" t="n">
        <v>6.5</v>
      </c>
      <c r="C43">
        <f>'Unit costs'!$P$38</f>
        <v/>
      </c>
      <c r="D43" s="12">
        <f>1-C43/B43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t="inlineStr">
        <is>
          <t>Each row recomputes the key unit costs and margins from the same inputs with its own levers.</t>
        </is>
      </c>
    </row>
    <row r="2">
      <c r="A2" s="1" t="inlineStr">
        <is>
          <t>Scenario</t>
        </is>
      </c>
      <c r="B2" s="1" t="inlineStr">
        <is>
          <t>Model price x</t>
        </is>
      </c>
      <c r="C2" s="1" t="inlineStr">
        <is>
          <t>INR per USD</t>
        </is>
      </c>
      <c r="D2" s="1" t="inlineStr">
        <is>
          <t>Cache hit</t>
        </is>
      </c>
      <c r="E2" s="1" t="inlineStr">
        <is>
          <t>TTS chars/min</t>
        </is>
      </c>
      <c r="F2" s="1" t="inlineStr">
        <is>
          <t>Telephony x</t>
        </is>
      </c>
      <c r="G2" s="1" t="inlineStr">
        <is>
          <t>Chat msg cost INR</t>
        </is>
      </c>
      <c r="H2" s="1" t="inlineStr">
        <is>
          <t>Indic minute cost INR</t>
        </is>
      </c>
      <c r="I2" s="1" t="inlineStr">
        <is>
          <t>Gemini Live minute cost INR</t>
        </is>
      </c>
      <c r="J2" s="1" t="inlineStr">
        <is>
          <t>Starter margin 100%</t>
        </is>
      </c>
      <c r="K2" s="1" t="inlineStr">
        <is>
          <t>Growth margin 100%</t>
        </is>
      </c>
      <c r="L2" s="1" t="inlineStr">
        <is>
          <t>Scale margin 100%</t>
        </is>
      </c>
      <c r="M2" s="1" t="inlineStr">
        <is>
          <t>Voice India PAYG margin (Indic)</t>
        </is>
      </c>
      <c r="N2" s="1" t="inlineStr">
        <is>
          <t>Voice India pack-2000 margin (Indic)</t>
        </is>
      </c>
      <c r="O2" s="1" t="inlineStr">
        <is>
          <t>Voice global PAYG margin (overseas stack)</t>
        </is>
      </c>
      <c r="P2" s="1" t="inlineStr">
        <is>
          <t>Voice global PAYG margin (Gemini Live)</t>
        </is>
      </c>
      <c r="Q2" s="1" t="inlineStr">
        <is>
          <t>Chat msg credits at 3x (min applied)</t>
        </is>
      </c>
    </row>
    <row r="3">
      <c r="A3" t="inlineStr">
        <is>
          <t>Base</t>
        </is>
      </c>
      <c r="B3" t="n">
        <v>1</v>
      </c>
      <c r="C3">
        <f>'Unit prices'!$E$2</f>
        <v/>
      </c>
      <c r="D3" s="13">
        <f>'Measured usage'!$D$9</f>
        <v/>
      </c>
      <c r="E3">
        <f>'Measured usage'!$D$35</f>
        <v/>
      </c>
      <c r="F3" t="n">
        <v>1</v>
      </c>
      <c r="G3">
        <f>($B$3*(('Measured usage'!$D$2+'Measured usage'!$D$3+'Measured usage'!$D$4)*((1-$D$3)*'Unit prices'!$E$4+$D$3*'Unit prices'!$E$5)+'Measured usage'!$D$6*'Unit prices'!$E$6)/1000000 + 'Measured usage'!$D$8*'Unit prices'!$E$56)*$C$3</f>
        <v/>
      </c>
      <c r="H3">
        <f>(('Unit prices'!$E$29/60)*'Measured usage'!$D$36/$C$3 + 'Measured usage'!$D$31*$B$3*(('Measured usage'!$D$32+'Measured usage'!$D$33*('Measured usage'!$D$38/60)/2)*((1-$D$3)*'Unit prices'!$E$4+$D$3*'Unit prices'!$E$5)+'Measured usage'!$D$34*'Unit prices'!$E$6)/1000000 + ('Unit prices'!$E$30/10000)*$E$3/$C$3 + $F$3*'Unit prices'!$E$47/$C$3)*$C$3</f>
        <v/>
      </c>
      <c r="I3">
        <f>($B$3*((('Measured usage'!$D$38*('Measured usage'!$D$39+'Measured usage'!$D$40))*'Unit prices'!$E$40)*'Unit prices'!$E$37+((('Measured usage'!$D$38*('Measured usage'!$D$39+'Measured usage'!$D$40))*'Unit prices'!$E$40)*(((ROUND('Measured usage'!$D$38/10,0)+1)/2)-1))*(($D$3)*'Unit prices'!$E$38+(1-$D$3)*'Unit prices'!$E$37)+('Measured usage'!$D$38*'Measured usage'!$D$39*'Unit prices'!$E$41)*'Unit prices'!$E$39)/1000000/('Measured usage'!$D$38/60) + $F$3*'Unit prices'!$E$47/$C$3)*$C$3</f>
        <v/>
      </c>
      <c r="J3" s="12">
        <f>1-(30*30*G3 + 100*($B$3*('Measured usage'!$D$10*((1-$D$3)*'Unit prices'!$E$16+$D$3*'Unit prices'!$E$17)+'Measured usage'!$D$11*'Unit prices'!$E$18)/1000000)*$C$3 + 3000*'Unit costs'!$B$9/'Unit costs'!$B$7)/(3999*(1-'Unit prices'!$E$57))</f>
        <v/>
      </c>
      <c r="K3" s="12">
        <f>1-(100*30*G3 + 500*($B$3*('Measured usage'!$D$10*((1-$D$3)*'Unit prices'!$E$16+$D$3*'Unit prices'!$E$17)+'Measured usage'!$D$11*'Unit prices'!$E$18)/1000000)*$C$3 + 12000*'Unit costs'!$B$9/'Unit costs'!$B$7)/(14999*(1-'Unit prices'!$E$57))</f>
        <v/>
      </c>
      <c r="L3" s="12">
        <f>1-(300*30*G3 + 1500*($B$3*('Measured usage'!$D$10*((1-$D$3)*'Unit prices'!$E$16+$D$3*'Unit prices'!$E$17)+'Measured usage'!$D$11*'Unit prices'!$E$18)/1000000)*$C$3 + 32000*'Unit costs'!$B$9/'Unit costs'!$B$7)/(39999*(1-'Unit prices'!$E$57))</f>
        <v/>
      </c>
      <c r="M3" s="12">
        <f>1-H3/(6*(1-'Unit prices'!$E$57))</f>
        <v/>
      </c>
      <c r="N3" s="12">
        <f>1-H3/(5*(1-'Unit prices'!$E$57))</f>
        <v/>
      </c>
      <c r="O3" s="12">
        <f>1-(('Unit prices'!$E$32*$B$3 + 'Measured usage'!$D$31*$B$3*(('Measured usage'!$D$32+'Measured usage'!$D$33*('Measured usage'!$D$38/60)/2)*((1-$D$3)*'Unit prices'!$E$4+$D$3*'Unit prices'!$E$5)+'Measured usage'!$D$34*'Unit prices'!$E$6)/1000000 + ('Unit prices'!$E$34/1000)*$E$3 + $F$3*'Unit prices'!$E$49)*$C$3)/(0.18*$C$3*(1-'Unit prices'!$E$57))</f>
        <v/>
      </c>
      <c r="P3" s="12">
        <f>1-(($B$3*((('Measured usage'!$D$38*('Measured usage'!$D$39+'Measured usage'!$D$40))*'Unit prices'!$E$40)*'Unit prices'!$E$37+((('Measured usage'!$D$38*('Measured usage'!$D$39+'Measured usage'!$D$40))*'Unit prices'!$E$40)*(((ROUND('Measured usage'!$D$38/10,0)+1)/2)-1))*(($D$3)*'Unit prices'!$E$38+(1-$D$3)*'Unit prices'!$E$37)+('Measured usage'!$D$38*'Measured usage'!$D$39*'Unit prices'!$E$41)*'Unit prices'!$E$39)/1000000/('Measured usage'!$D$38/60) + $F$3*'Unit prices'!$E$49)*$C$3)/(0.18*$C$3*(1-'Unit prices'!$E$57))</f>
        <v/>
      </c>
      <c r="Q3">
        <f>MAX('Unit costs'!$B$8,G3*'Unit costs'!$B$7/'Unit costs'!$B$9)</f>
        <v/>
      </c>
    </row>
    <row r="4">
      <c r="A4" t="inlineStr">
        <is>
          <t>Model prices +50%</t>
        </is>
      </c>
      <c r="B4" t="n">
        <v>1.5</v>
      </c>
      <c r="C4">
        <f>'Unit prices'!$E$2</f>
        <v/>
      </c>
      <c r="D4" s="13">
        <f>'Measured usage'!$D$9</f>
        <v/>
      </c>
      <c r="E4">
        <f>'Measured usage'!$D$35</f>
        <v/>
      </c>
      <c r="F4" t="n">
        <v>1</v>
      </c>
      <c r="G4">
        <f>($B$4*(('Measured usage'!$D$2+'Measured usage'!$D$3+'Measured usage'!$D$4)*((1-$D$4)*'Unit prices'!$E$4+$D$4*'Unit prices'!$E$5)+'Measured usage'!$D$6*'Unit prices'!$E$6)/1000000 + 'Measured usage'!$D$8*'Unit prices'!$E$56)*$C$4</f>
        <v/>
      </c>
      <c r="H4">
        <f>(('Unit prices'!$E$29/60)*'Measured usage'!$D$36/$C$4 + 'Measured usage'!$D$31*$B$4*(('Measured usage'!$D$32+'Measured usage'!$D$33*('Measured usage'!$D$38/60)/2)*((1-$D$4)*'Unit prices'!$E$4+$D$4*'Unit prices'!$E$5)+'Measured usage'!$D$34*'Unit prices'!$E$6)/1000000 + ('Unit prices'!$E$30/10000)*$E$4/$C$4 + $F$4*'Unit prices'!$E$47/$C$4)*$C$4</f>
        <v/>
      </c>
      <c r="I4">
        <f>($B$4*((('Measured usage'!$D$38*('Measured usage'!$D$39+'Measured usage'!$D$40))*'Unit prices'!$E$40)*'Unit prices'!$E$37+((('Measured usage'!$D$38*('Measured usage'!$D$39+'Measured usage'!$D$40))*'Unit prices'!$E$40)*(((ROUND('Measured usage'!$D$38/10,0)+1)/2)-1))*(($D$4)*'Unit prices'!$E$38+(1-$D$4)*'Unit prices'!$E$37)+('Measured usage'!$D$38*'Measured usage'!$D$39*'Unit prices'!$E$41)*'Unit prices'!$E$39)/1000000/('Measured usage'!$D$38/60) + $F$4*'Unit prices'!$E$47/$C$4)*$C$4</f>
        <v/>
      </c>
      <c r="J4" s="12">
        <f>1-(30*30*G4 + 100*($B$4*('Measured usage'!$D$10*((1-$D$4)*'Unit prices'!$E$16+$D$4*'Unit prices'!$E$17)+'Measured usage'!$D$11*'Unit prices'!$E$18)/1000000)*$C$4 + 3000*'Unit costs'!$B$9/'Unit costs'!$B$7)/(3999*(1-'Unit prices'!$E$57))</f>
        <v/>
      </c>
      <c r="K4" s="12">
        <f>1-(100*30*G4 + 500*($B$4*('Measured usage'!$D$10*((1-$D$4)*'Unit prices'!$E$16+$D$4*'Unit prices'!$E$17)+'Measured usage'!$D$11*'Unit prices'!$E$18)/1000000)*$C$4 + 12000*'Unit costs'!$B$9/'Unit costs'!$B$7)/(14999*(1-'Unit prices'!$E$57))</f>
        <v/>
      </c>
      <c r="L4" s="12">
        <f>1-(300*30*G4 + 1500*($B$4*('Measured usage'!$D$10*((1-$D$4)*'Unit prices'!$E$16+$D$4*'Unit prices'!$E$17)+'Measured usage'!$D$11*'Unit prices'!$E$18)/1000000)*$C$4 + 32000*'Unit costs'!$B$9/'Unit costs'!$B$7)/(39999*(1-'Unit prices'!$E$57))</f>
        <v/>
      </c>
      <c r="M4" s="12">
        <f>1-H4/(6*(1-'Unit prices'!$E$57))</f>
        <v/>
      </c>
      <c r="N4" s="12">
        <f>1-H4/(5*(1-'Unit prices'!$E$57))</f>
        <v/>
      </c>
      <c r="O4" s="12">
        <f>1-(('Unit prices'!$E$32*$B$4 + 'Measured usage'!$D$31*$B$4*(('Measured usage'!$D$32+'Measured usage'!$D$33*('Measured usage'!$D$38/60)/2)*((1-$D$4)*'Unit prices'!$E$4+$D$4*'Unit prices'!$E$5)+'Measured usage'!$D$34*'Unit prices'!$E$6)/1000000 + ('Unit prices'!$E$34/1000)*$E$4 + $F$4*'Unit prices'!$E$49)*$C$4)/(0.18*$C$4*(1-'Unit prices'!$E$57))</f>
        <v/>
      </c>
      <c r="P4" s="12">
        <f>1-(($B$4*((('Measured usage'!$D$38*('Measured usage'!$D$39+'Measured usage'!$D$40))*'Unit prices'!$E$40)*'Unit prices'!$E$37+((('Measured usage'!$D$38*('Measured usage'!$D$39+'Measured usage'!$D$40))*'Unit prices'!$E$40)*(((ROUND('Measured usage'!$D$38/10,0)+1)/2)-1))*(($D$4)*'Unit prices'!$E$38+(1-$D$4)*'Unit prices'!$E$37)+('Measured usage'!$D$38*'Measured usage'!$D$39*'Unit prices'!$E$41)*'Unit prices'!$E$39)/1000000/('Measured usage'!$D$38/60) + $F$4*'Unit prices'!$E$49)*$C$4)/(0.18*$C$4*(1-'Unit prices'!$E$57))</f>
        <v/>
      </c>
      <c r="Q4">
        <f>MAX('Unit costs'!$B$8,G4*'Unit costs'!$B$7/'Unit costs'!$B$9)</f>
        <v/>
      </c>
    </row>
    <row r="5">
      <c r="A5" t="inlineStr">
        <is>
          <t>INR at 90 per USD</t>
        </is>
      </c>
      <c r="B5" t="n">
        <v>1</v>
      </c>
      <c r="C5" t="n">
        <v>90</v>
      </c>
      <c r="D5" s="13">
        <f>'Measured usage'!$D$9</f>
        <v/>
      </c>
      <c r="E5">
        <f>'Measured usage'!$D$35</f>
        <v/>
      </c>
      <c r="F5" t="n">
        <v>1</v>
      </c>
      <c r="G5">
        <f>($B$5*(('Measured usage'!$D$2+'Measured usage'!$D$3+'Measured usage'!$D$4)*((1-$D$5)*'Unit prices'!$E$4+$D$5*'Unit prices'!$E$5)+'Measured usage'!$D$6*'Unit prices'!$E$6)/1000000 + 'Measured usage'!$D$8*'Unit prices'!$E$56)*$C$5</f>
        <v/>
      </c>
      <c r="H5">
        <f>(('Unit prices'!$E$29/60)*'Measured usage'!$D$36/$C$5 + 'Measured usage'!$D$31*$B$5*(('Measured usage'!$D$32+'Measured usage'!$D$33*('Measured usage'!$D$38/60)/2)*((1-$D$5)*'Unit prices'!$E$4+$D$5*'Unit prices'!$E$5)+'Measured usage'!$D$34*'Unit prices'!$E$6)/1000000 + ('Unit prices'!$E$30/10000)*$E$5/$C$5 + $F$5*'Unit prices'!$E$47/$C$5)*$C$5</f>
        <v/>
      </c>
      <c r="I5">
        <f>($B$5*((('Measured usage'!$D$38*('Measured usage'!$D$39+'Measured usage'!$D$40))*'Unit prices'!$E$40)*'Unit prices'!$E$37+((('Measured usage'!$D$38*('Measured usage'!$D$39+'Measured usage'!$D$40))*'Unit prices'!$E$40)*(((ROUND('Measured usage'!$D$38/10,0)+1)/2)-1))*(($D$5)*'Unit prices'!$E$38+(1-$D$5)*'Unit prices'!$E$37)+('Measured usage'!$D$38*'Measured usage'!$D$39*'Unit prices'!$E$41)*'Unit prices'!$E$39)/1000000/('Measured usage'!$D$38/60) + $F$5*'Unit prices'!$E$47/$C$5)*$C$5</f>
        <v/>
      </c>
      <c r="J5" s="12">
        <f>1-(30*30*G5 + 100*($B$5*('Measured usage'!$D$10*((1-$D$5)*'Unit prices'!$E$16+$D$5*'Unit prices'!$E$17)+'Measured usage'!$D$11*'Unit prices'!$E$18)/1000000)*$C$5 + 3000*'Unit costs'!$B$9/'Unit costs'!$B$7)/(3999*(1-'Unit prices'!$E$57))</f>
        <v/>
      </c>
      <c r="K5" s="12">
        <f>1-(100*30*G5 + 500*($B$5*('Measured usage'!$D$10*((1-$D$5)*'Unit prices'!$E$16+$D$5*'Unit prices'!$E$17)+'Measured usage'!$D$11*'Unit prices'!$E$18)/1000000)*$C$5 + 12000*'Unit costs'!$B$9/'Unit costs'!$B$7)/(14999*(1-'Unit prices'!$E$57))</f>
        <v/>
      </c>
      <c r="L5" s="12">
        <f>1-(300*30*G5 + 1500*($B$5*('Measured usage'!$D$10*((1-$D$5)*'Unit prices'!$E$16+$D$5*'Unit prices'!$E$17)+'Measured usage'!$D$11*'Unit prices'!$E$18)/1000000)*$C$5 + 32000*'Unit costs'!$B$9/'Unit costs'!$B$7)/(39999*(1-'Unit prices'!$E$57))</f>
        <v/>
      </c>
      <c r="M5" s="12">
        <f>1-H5/(6*(1-'Unit prices'!$E$57))</f>
        <v/>
      </c>
      <c r="N5" s="12">
        <f>1-H5/(5*(1-'Unit prices'!$E$57))</f>
        <v/>
      </c>
      <c r="O5" s="12">
        <f>1-(('Unit prices'!$E$32*$B$5 + 'Measured usage'!$D$31*$B$5*(('Measured usage'!$D$32+'Measured usage'!$D$33*('Measured usage'!$D$38/60)/2)*((1-$D$5)*'Unit prices'!$E$4+$D$5*'Unit prices'!$E$5)+'Measured usage'!$D$34*'Unit prices'!$E$6)/1000000 + ('Unit prices'!$E$34/1000)*$E$5 + $F$5*'Unit prices'!$E$49)*$C$5)/(0.18*$C$5*(1-'Unit prices'!$E$57))</f>
        <v/>
      </c>
      <c r="P5" s="12">
        <f>1-(($B$5*((('Measured usage'!$D$38*('Measured usage'!$D$39+'Measured usage'!$D$40))*'Unit prices'!$E$40)*'Unit prices'!$E$37+((('Measured usage'!$D$38*('Measured usage'!$D$39+'Measured usage'!$D$40))*'Unit prices'!$E$40)*(((ROUND('Measured usage'!$D$38/10,0)+1)/2)-1))*(($D$5)*'Unit prices'!$E$38+(1-$D$5)*'Unit prices'!$E$37)+('Measured usage'!$D$38*'Measured usage'!$D$39*'Unit prices'!$E$41)*'Unit prices'!$E$39)/1000000/('Measured usage'!$D$38/60) + $F$5*'Unit prices'!$E$49)*$C$5)/(0.18*$C$5*(1-'Unit prices'!$E$57))</f>
        <v/>
      </c>
      <c r="Q5">
        <f>MAX('Unit costs'!$B$8,G5*'Unit costs'!$B$7/'Unit costs'!$B$9)</f>
        <v/>
      </c>
    </row>
    <row r="6">
      <c r="A6" t="inlineStr">
        <is>
          <t>INR at 100 per USD</t>
        </is>
      </c>
      <c r="B6" t="n">
        <v>1</v>
      </c>
      <c r="C6" t="n">
        <v>100</v>
      </c>
      <c r="D6" s="13">
        <f>'Measured usage'!$D$9</f>
        <v/>
      </c>
      <c r="E6">
        <f>'Measured usage'!$D$35</f>
        <v/>
      </c>
      <c r="F6" t="n">
        <v>1</v>
      </c>
      <c r="G6">
        <f>($B$6*(('Measured usage'!$D$2+'Measured usage'!$D$3+'Measured usage'!$D$4)*((1-$D$6)*'Unit prices'!$E$4+$D$6*'Unit prices'!$E$5)+'Measured usage'!$D$6*'Unit prices'!$E$6)/1000000 + 'Measured usage'!$D$8*'Unit prices'!$E$56)*$C$6</f>
        <v/>
      </c>
      <c r="H6">
        <f>(('Unit prices'!$E$29/60)*'Measured usage'!$D$36/$C$6 + 'Measured usage'!$D$31*$B$6*(('Measured usage'!$D$32+'Measured usage'!$D$33*('Measured usage'!$D$38/60)/2)*((1-$D$6)*'Unit prices'!$E$4+$D$6*'Unit prices'!$E$5)+'Measured usage'!$D$34*'Unit prices'!$E$6)/1000000 + ('Unit prices'!$E$30/10000)*$E$6/$C$6 + $F$6*'Unit prices'!$E$47/$C$6)*$C$6</f>
        <v/>
      </c>
      <c r="I6">
        <f>($B$6*((('Measured usage'!$D$38*('Measured usage'!$D$39+'Measured usage'!$D$40))*'Unit prices'!$E$40)*'Unit prices'!$E$37+((('Measured usage'!$D$38*('Measured usage'!$D$39+'Measured usage'!$D$40))*'Unit prices'!$E$40)*(((ROUND('Measured usage'!$D$38/10,0)+1)/2)-1))*(($D$6)*'Unit prices'!$E$38+(1-$D$6)*'Unit prices'!$E$37)+('Measured usage'!$D$38*'Measured usage'!$D$39*'Unit prices'!$E$41)*'Unit prices'!$E$39)/1000000/('Measured usage'!$D$38/60) + $F$6*'Unit prices'!$E$47/$C$6)*$C$6</f>
        <v/>
      </c>
      <c r="J6" s="12">
        <f>1-(30*30*G6 + 100*($B$6*('Measured usage'!$D$10*((1-$D$6)*'Unit prices'!$E$16+$D$6*'Unit prices'!$E$17)+'Measured usage'!$D$11*'Unit prices'!$E$18)/1000000)*$C$6 + 3000*'Unit costs'!$B$9/'Unit costs'!$B$7)/(3999*(1-'Unit prices'!$E$57))</f>
        <v/>
      </c>
      <c r="K6" s="12">
        <f>1-(100*30*G6 + 500*($B$6*('Measured usage'!$D$10*((1-$D$6)*'Unit prices'!$E$16+$D$6*'Unit prices'!$E$17)+'Measured usage'!$D$11*'Unit prices'!$E$18)/1000000)*$C$6 + 12000*'Unit costs'!$B$9/'Unit costs'!$B$7)/(14999*(1-'Unit prices'!$E$57))</f>
        <v/>
      </c>
      <c r="L6" s="12">
        <f>1-(300*30*G6 + 1500*($B$6*('Measured usage'!$D$10*((1-$D$6)*'Unit prices'!$E$16+$D$6*'Unit prices'!$E$17)+'Measured usage'!$D$11*'Unit prices'!$E$18)/1000000)*$C$6 + 32000*'Unit costs'!$B$9/'Unit costs'!$B$7)/(39999*(1-'Unit prices'!$E$57))</f>
        <v/>
      </c>
      <c r="M6" s="12">
        <f>1-H6/(6*(1-'Unit prices'!$E$57))</f>
        <v/>
      </c>
      <c r="N6" s="12">
        <f>1-H6/(5*(1-'Unit prices'!$E$57))</f>
        <v/>
      </c>
      <c r="O6" s="12">
        <f>1-(('Unit prices'!$E$32*$B$6 + 'Measured usage'!$D$31*$B$6*(('Measured usage'!$D$32+'Measured usage'!$D$33*('Measured usage'!$D$38/60)/2)*((1-$D$6)*'Unit prices'!$E$4+$D$6*'Unit prices'!$E$5)+'Measured usage'!$D$34*'Unit prices'!$E$6)/1000000 + ('Unit prices'!$E$34/1000)*$E$6 + $F$6*'Unit prices'!$E$49)*$C$6)/(0.18*$C$6*(1-'Unit prices'!$E$57))</f>
        <v/>
      </c>
      <c r="P6" s="12">
        <f>1-(($B$6*((('Measured usage'!$D$38*('Measured usage'!$D$39+'Measured usage'!$D$40))*'Unit prices'!$E$40)*'Unit prices'!$E$37+((('Measured usage'!$D$38*('Measured usage'!$D$39+'Measured usage'!$D$40))*'Unit prices'!$E$40)*(((ROUND('Measured usage'!$D$38/10,0)+1)/2)-1))*(($D$6)*'Unit prices'!$E$38+(1-$D$6)*'Unit prices'!$E$37)+('Measured usage'!$D$38*'Measured usage'!$D$39*'Unit prices'!$E$41)*'Unit prices'!$E$39)/1000000/('Measured usage'!$D$38/60) + $F$6*'Unit prices'!$E$49)*$C$6)/(0.18*$C$6*(1-'Unit prices'!$E$57))</f>
        <v/>
      </c>
      <c r="Q6">
        <f>MAX('Unit costs'!$B$8,G6*'Unit costs'!$B$7/'Unit costs'!$B$9)</f>
        <v/>
      </c>
    </row>
    <row r="7">
      <c r="A7" t="inlineStr">
        <is>
          <t>Cache hit 50%</t>
        </is>
      </c>
      <c r="B7" t="n">
        <v>1</v>
      </c>
      <c r="C7">
        <f>'Unit prices'!$E$2</f>
        <v/>
      </c>
      <c r="D7" s="13" t="n">
        <v>0.5</v>
      </c>
      <c r="E7">
        <f>'Measured usage'!$D$35</f>
        <v/>
      </c>
      <c r="F7" t="n">
        <v>1</v>
      </c>
      <c r="G7">
        <f>($B$7*(('Measured usage'!$D$2+'Measured usage'!$D$3+'Measured usage'!$D$4)*((1-$D$7)*'Unit prices'!$E$4+$D$7*'Unit prices'!$E$5)+'Measured usage'!$D$6*'Unit prices'!$E$6)/1000000 + 'Measured usage'!$D$8*'Unit prices'!$E$56)*$C$7</f>
        <v/>
      </c>
      <c r="H7">
        <f>(('Unit prices'!$E$29/60)*'Measured usage'!$D$36/$C$7 + 'Measured usage'!$D$31*$B$7*(('Measured usage'!$D$32+'Measured usage'!$D$33*('Measured usage'!$D$38/60)/2)*((1-$D$7)*'Unit prices'!$E$4+$D$7*'Unit prices'!$E$5)+'Measured usage'!$D$34*'Unit prices'!$E$6)/1000000 + ('Unit prices'!$E$30/10000)*$E$7/$C$7 + $F$7*'Unit prices'!$E$47/$C$7)*$C$7</f>
        <v/>
      </c>
      <c r="I7">
        <f>($B$7*((('Measured usage'!$D$38*('Measured usage'!$D$39+'Measured usage'!$D$40))*'Unit prices'!$E$40)*'Unit prices'!$E$37+((('Measured usage'!$D$38*('Measured usage'!$D$39+'Measured usage'!$D$40))*'Unit prices'!$E$40)*(((ROUND('Measured usage'!$D$38/10,0)+1)/2)-1))*(($D$7)*'Unit prices'!$E$38+(1-$D$7)*'Unit prices'!$E$37)+('Measured usage'!$D$38*'Measured usage'!$D$39*'Unit prices'!$E$41)*'Unit prices'!$E$39)/1000000/('Measured usage'!$D$38/60) + $F$7*'Unit prices'!$E$47/$C$7)*$C$7</f>
        <v/>
      </c>
      <c r="J7" s="12">
        <f>1-(30*30*G7 + 100*($B$7*('Measured usage'!$D$10*((1-$D$7)*'Unit prices'!$E$16+$D$7*'Unit prices'!$E$17)+'Measured usage'!$D$11*'Unit prices'!$E$18)/1000000)*$C$7 + 3000*'Unit costs'!$B$9/'Unit costs'!$B$7)/(3999*(1-'Unit prices'!$E$57))</f>
        <v/>
      </c>
      <c r="K7" s="12">
        <f>1-(100*30*G7 + 500*($B$7*('Measured usage'!$D$10*((1-$D$7)*'Unit prices'!$E$16+$D$7*'Unit prices'!$E$17)+'Measured usage'!$D$11*'Unit prices'!$E$18)/1000000)*$C$7 + 12000*'Unit costs'!$B$9/'Unit costs'!$B$7)/(14999*(1-'Unit prices'!$E$57))</f>
        <v/>
      </c>
      <c r="L7" s="12">
        <f>1-(300*30*G7 + 1500*($B$7*('Measured usage'!$D$10*((1-$D$7)*'Unit prices'!$E$16+$D$7*'Unit prices'!$E$17)+'Measured usage'!$D$11*'Unit prices'!$E$18)/1000000)*$C$7 + 32000*'Unit costs'!$B$9/'Unit costs'!$B$7)/(39999*(1-'Unit prices'!$E$57))</f>
        <v/>
      </c>
      <c r="M7" s="12">
        <f>1-H7/(6*(1-'Unit prices'!$E$57))</f>
        <v/>
      </c>
      <c r="N7" s="12">
        <f>1-H7/(5*(1-'Unit prices'!$E$57))</f>
        <v/>
      </c>
      <c r="O7" s="12">
        <f>1-(('Unit prices'!$E$32*$B$7 + 'Measured usage'!$D$31*$B$7*(('Measured usage'!$D$32+'Measured usage'!$D$33*('Measured usage'!$D$38/60)/2)*((1-$D$7)*'Unit prices'!$E$4+$D$7*'Unit prices'!$E$5)+'Measured usage'!$D$34*'Unit prices'!$E$6)/1000000 + ('Unit prices'!$E$34/1000)*$E$7 + $F$7*'Unit prices'!$E$49)*$C$7)/(0.18*$C$7*(1-'Unit prices'!$E$57))</f>
        <v/>
      </c>
      <c r="P7" s="12">
        <f>1-(($B$7*((('Measured usage'!$D$38*('Measured usage'!$D$39+'Measured usage'!$D$40))*'Unit prices'!$E$40)*'Unit prices'!$E$37+((('Measured usage'!$D$38*('Measured usage'!$D$39+'Measured usage'!$D$40))*'Unit prices'!$E$40)*(((ROUND('Measured usage'!$D$38/10,0)+1)/2)-1))*(($D$7)*'Unit prices'!$E$38+(1-$D$7)*'Unit prices'!$E$37)+('Measured usage'!$D$38*'Measured usage'!$D$39*'Unit prices'!$E$41)*'Unit prices'!$E$39)/1000000/('Measured usage'!$D$38/60) + $F$7*'Unit prices'!$E$49)*$C$7)/(0.18*$C$7*(1-'Unit prices'!$E$57))</f>
        <v/>
      </c>
      <c r="Q7">
        <f>MAX('Unit costs'!$B$8,G7*'Unit costs'!$B$7/'Unit costs'!$B$9)</f>
        <v/>
      </c>
    </row>
    <row r="8">
      <c r="A8" t="inlineStr">
        <is>
          <t>Cache hit 90%</t>
        </is>
      </c>
      <c r="B8" t="n">
        <v>1</v>
      </c>
      <c r="C8">
        <f>'Unit prices'!$E$2</f>
        <v/>
      </c>
      <c r="D8" s="13" t="n">
        <v>0.9</v>
      </c>
      <c r="E8">
        <f>'Measured usage'!$D$35</f>
        <v/>
      </c>
      <c r="F8" t="n">
        <v>1</v>
      </c>
      <c r="G8">
        <f>($B$8*(('Measured usage'!$D$2+'Measured usage'!$D$3+'Measured usage'!$D$4)*((1-$D$8)*'Unit prices'!$E$4+$D$8*'Unit prices'!$E$5)+'Measured usage'!$D$6*'Unit prices'!$E$6)/1000000 + 'Measured usage'!$D$8*'Unit prices'!$E$56)*$C$8</f>
        <v/>
      </c>
      <c r="H8">
        <f>(('Unit prices'!$E$29/60)*'Measured usage'!$D$36/$C$8 + 'Measured usage'!$D$31*$B$8*(('Measured usage'!$D$32+'Measured usage'!$D$33*('Measured usage'!$D$38/60)/2)*((1-$D$8)*'Unit prices'!$E$4+$D$8*'Unit prices'!$E$5)+'Measured usage'!$D$34*'Unit prices'!$E$6)/1000000 + ('Unit prices'!$E$30/10000)*$E$8/$C$8 + $F$8*'Unit prices'!$E$47/$C$8)*$C$8</f>
        <v/>
      </c>
      <c r="I8">
        <f>($B$8*((('Measured usage'!$D$38*('Measured usage'!$D$39+'Measured usage'!$D$40))*'Unit prices'!$E$40)*'Unit prices'!$E$37+((('Measured usage'!$D$38*('Measured usage'!$D$39+'Measured usage'!$D$40))*'Unit prices'!$E$40)*(((ROUND('Measured usage'!$D$38/10,0)+1)/2)-1))*(($D$8)*'Unit prices'!$E$38+(1-$D$8)*'Unit prices'!$E$37)+('Measured usage'!$D$38*'Measured usage'!$D$39*'Unit prices'!$E$41)*'Unit prices'!$E$39)/1000000/('Measured usage'!$D$38/60) + $F$8*'Unit prices'!$E$47/$C$8)*$C$8</f>
        <v/>
      </c>
      <c r="J8" s="12">
        <f>1-(30*30*G8 + 100*($B$8*('Measured usage'!$D$10*((1-$D$8)*'Unit prices'!$E$16+$D$8*'Unit prices'!$E$17)+'Measured usage'!$D$11*'Unit prices'!$E$18)/1000000)*$C$8 + 3000*'Unit costs'!$B$9/'Unit costs'!$B$7)/(3999*(1-'Unit prices'!$E$57))</f>
        <v/>
      </c>
      <c r="K8" s="12">
        <f>1-(100*30*G8 + 500*($B$8*('Measured usage'!$D$10*((1-$D$8)*'Unit prices'!$E$16+$D$8*'Unit prices'!$E$17)+'Measured usage'!$D$11*'Unit prices'!$E$18)/1000000)*$C$8 + 12000*'Unit costs'!$B$9/'Unit costs'!$B$7)/(14999*(1-'Unit prices'!$E$57))</f>
        <v/>
      </c>
      <c r="L8" s="12">
        <f>1-(300*30*G8 + 1500*($B$8*('Measured usage'!$D$10*((1-$D$8)*'Unit prices'!$E$16+$D$8*'Unit prices'!$E$17)+'Measured usage'!$D$11*'Unit prices'!$E$18)/1000000)*$C$8 + 32000*'Unit costs'!$B$9/'Unit costs'!$B$7)/(39999*(1-'Unit prices'!$E$57))</f>
        <v/>
      </c>
      <c r="M8" s="12">
        <f>1-H8/(6*(1-'Unit prices'!$E$57))</f>
        <v/>
      </c>
      <c r="N8" s="12">
        <f>1-H8/(5*(1-'Unit prices'!$E$57))</f>
        <v/>
      </c>
      <c r="O8" s="12">
        <f>1-(('Unit prices'!$E$32*$B$8 + 'Measured usage'!$D$31*$B$8*(('Measured usage'!$D$32+'Measured usage'!$D$33*('Measured usage'!$D$38/60)/2)*((1-$D$8)*'Unit prices'!$E$4+$D$8*'Unit prices'!$E$5)+'Measured usage'!$D$34*'Unit prices'!$E$6)/1000000 + ('Unit prices'!$E$34/1000)*$E$8 + $F$8*'Unit prices'!$E$49)*$C$8)/(0.18*$C$8*(1-'Unit prices'!$E$57))</f>
        <v/>
      </c>
      <c r="P8" s="12">
        <f>1-(($B$8*((('Measured usage'!$D$38*('Measured usage'!$D$39+'Measured usage'!$D$40))*'Unit prices'!$E$40)*'Unit prices'!$E$37+((('Measured usage'!$D$38*('Measured usage'!$D$39+'Measured usage'!$D$40))*'Unit prices'!$E$40)*(((ROUND('Measured usage'!$D$38/10,0)+1)/2)-1))*(($D$8)*'Unit prices'!$E$38+(1-$D$8)*'Unit prices'!$E$37)+('Measured usage'!$D$38*'Measured usage'!$D$39*'Unit prices'!$E$41)*'Unit prices'!$E$39)/1000000/('Measured usage'!$D$38/60) + $F$8*'Unit prices'!$E$49)*$C$8)/(0.18*$C$8*(1-'Unit prices'!$E$57))</f>
        <v/>
      </c>
      <c r="Q8">
        <f>MAX('Unit costs'!$B$8,G8*'Unit costs'!$B$7/'Unit costs'!$B$9)</f>
        <v/>
      </c>
    </row>
    <row r="9">
      <c r="A9" t="inlineStr">
        <is>
          <t>TTS 350 chars/min</t>
        </is>
      </c>
      <c r="B9" t="n">
        <v>1</v>
      </c>
      <c r="C9">
        <f>'Unit prices'!$E$2</f>
        <v/>
      </c>
      <c r="D9" s="13">
        <f>'Measured usage'!$D$9</f>
        <v/>
      </c>
      <c r="E9" t="n">
        <v>350</v>
      </c>
      <c r="F9" t="n">
        <v>1</v>
      </c>
      <c r="G9">
        <f>($B$9*(('Measured usage'!$D$2+'Measured usage'!$D$3+'Measured usage'!$D$4)*((1-$D$9)*'Unit prices'!$E$4+$D$9*'Unit prices'!$E$5)+'Measured usage'!$D$6*'Unit prices'!$E$6)/1000000 + 'Measured usage'!$D$8*'Unit prices'!$E$56)*$C$9</f>
        <v/>
      </c>
      <c r="H9">
        <f>(('Unit prices'!$E$29/60)*'Measured usage'!$D$36/$C$9 + 'Measured usage'!$D$31*$B$9*(('Measured usage'!$D$32+'Measured usage'!$D$33*('Measured usage'!$D$38/60)/2)*((1-$D$9)*'Unit prices'!$E$4+$D$9*'Unit prices'!$E$5)+'Measured usage'!$D$34*'Unit prices'!$E$6)/1000000 + ('Unit prices'!$E$30/10000)*$E$9/$C$9 + $F$9*'Unit prices'!$E$47/$C$9)*$C$9</f>
        <v/>
      </c>
      <c r="I9">
        <f>($B$9*((('Measured usage'!$D$38*('Measured usage'!$D$39+'Measured usage'!$D$40))*'Unit prices'!$E$40)*'Unit prices'!$E$37+((('Measured usage'!$D$38*('Measured usage'!$D$39+'Measured usage'!$D$40))*'Unit prices'!$E$40)*(((ROUND('Measured usage'!$D$38/10,0)+1)/2)-1))*(($D$9)*'Unit prices'!$E$38+(1-$D$9)*'Unit prices'!$E$37)+('Measured usage'!$D$38*'Measured usage'!$D$39*'Unit prices'!$E$41)*'Unit prices'!$E$39)/1000000/('Measured usage'!$D$38/60) + $F$9*'Unit prices'!$E$47/$C$9)*$C$9</f>
        <v/>
      </c>
      <c r="J9" s="12">
        <f>1-(30*30*G9 + 100*($B$9*('Measured usage'!$D$10*((1-$D$9)*'Unit prices'!$E$16+$D$9*'Unit prices'!$E$17)+'Measured usage'!$D$11*'Unit prices'!$E$18)/1000000)*$C$9 + 3000*'Unit costs'!$B$9/'Unit costs'!$B$7)/(3999*(1-'Unit prices'!$E$57))</f>
        <v/>
      </c>
      <c r="K9" s="12">
        <f>1-(100*30*G9 + 500*($B$9*('Measured usage'!$D$10*((1-$D$9)*'Unit prices'!$E$16+$D$9*'Unit prices'!$E$17)+'Measured usage'!$D$11*'Unit prices'!$E$18)/1000000)*$C$9 + 12000*'Unit costs'!$B$9/'Unit costs'!$B$7)/(14999*(1-'Unit prices'!$E$57))</f>
        <v/>
      </c>
      <c r="L9" s="12">
        <f>1-(300*30*G9 + 1500*($B$9*('Measured usage'!$D$10*((1-$D$9)*'Unit prices'!$E$16+$D$9*'Unit prices'!$E$17)+'Measured usage'!$D$11*'Unit prices'!$E$18)/1000000)*$C$9 + 32000*'Unit costs'!$B$9/'Unit costs'!$B$7)/(39999*(1-'Unit prices'!$E$57))</f>
        <v/>
      </c>
      <c r="M9" s="12">
        <f>1-H9/(6*(1-'Unit prices'!$E$57))</f>
        <v/>
      </c>
      <c r="N9" s="12">
        <f>1-H9/(5*(1-'Unit prices'!$E$57))</f>
        <v/>
      </c>
      <c r="O9" s="12">
        <f>1-(('Unit prices'!$E$32*$B$9 + 'Measured usage'!$D$31*$B$9*(('Measured usage'!$D$32+'Measured usage'!$D$33*('Measured usage'!$D$38/60)/2)*((1-$D$9)*'Unit prices'!$E$4+$D$9*'Unit prices'!$E$5)+'Measured usage'!$D$34*'Unit prices'!$E$6)/1000000 + ('Unit prices'!$E$34/1000)*$E$9 + $F$9*'Unit prices'!$E$49)*$C$9)/(0.18*$C$9*(1-'Unit prices'!$E$57))</f>
        <v/>
      </c>
      <c r="P9" s="12">
        <f>1-(($B$9*((('Measured usage'!$D$38*('Measured usage'!$D$39+'Measured usage'!$D$40))*'Unit prices'!$E$40)*'Unit prices'!$E$37+((('Measured usage'!$D$38*('Measured usage'!$D$39+'Measured usage'!$D$40))*'Unit prices'!$E$40)*(((ROUND('Measured usage'!$D$38/10,0)+1)/2)-1))*(($D$9)*'Unit prices'!$E$38+(1-$D$9)*'Unit prices'!$E$37)+('Measured usage'!$D$38*'Measured usage'!$D$39*'Unit prices'!$E$41)*'Unit prices'!$E$39)/1000000/('Measured usage'!$D$38/60) + $F$9*'Unit prices'!$E$49)*$C$9)/(0.18*$C$9*(1-'Unit prices'!$E$57))</f>
        <v/>
      </c>
      <c r="Q9">
        <f>MAX('Unit costs'!$B$8,G9*'Unit costs'!$B$7/'Unit costs'!$B$9)</f>
        <v/>
      </c>
    </row>
    <row r="10">
      <c r="A10" t="inlineStr">
        <is>
          <t>TTS 600 chars/min</t>
        </is>
      </c>
      <c r="B10" t="n">
        <v>1</v>
      </c>
      <c r="C10">
        <f>'Unit prices'!$E$2</f>
        <v/>
      </c>
      <c r="D10" s="13">
        <f>'Measured usage'!$D$9</f>
        <v/>
      </c>
      <c r="E10" t="n">
        <v>600</v>
      </c>
      <c r="F10" t="n">
        <v>1</v>
      </c>
      <c r="G10">
        <f>($B$10*(('Measured usage'!$D$2+'Measured usage'!$D$3+'Measured usage'!$D$4)*((1-$D$10)*'Unit prices'!$E$4+$D$10*'Unit prices'!$E$5)+'Measured usage'!$D$6*'Unit prices'!$E$6)/1000000 + 'Measured usage'!$D$8*'Unit prices'!$E$56)*$C$10</f>
        <v/>
      </c>
      <c r="H10">
        <f>(('Unit prices'!$E$29/60)*'Measured usage'!$D$36/$C$10 + 'Measured usage'!$D$31*$B$10*(('Measured usage'!$D$32+'Measured usage'!$D$33*('Measured usage'!$D$38/60)/2)*((1-$D$10)*'Unit prices'!$E$4+$D$10*'Unit prices'!$E$5)+'Measured usage'!$D$34*'Unit prices'!$E$6)/1000000 + ('Unit prices'!$E$30/10000)*$E$10/$C$10 + $F$10*'Unit prices'!$E$47/$C$10)*$C$10</f>
        <v/>
      </c>
      <c r="I10">
        <f>($B$10*((('Measured usage'!$D$38*('Measured usage'!$D$39+'Measured usage'!$D$40))*'Unit prices'!$E$40)*'Unit prices'!$E$37+((('Measured usage'!$D$38*('Measured usage'!$D$39+'Measured usage'!$D$40))*'Unit prices'!$E$40)*(((ROUND('Measured usage'!$D$38/10,0)+1)/2)-1))*(($D$10)*'Unit prices'!$E$38+(1-$D$10)*'Unit prices'!$E$37)+('Measured usage'!$D$38*'Measured usage'!$D$39*'Unit prices'!$E$41)*'Unit prices'!$E$39)/1000000/('Measured usage'!$D$38/60) + $F$10*'Unit prices'!$E$47/$C$10)*$C$10</f>
        <v/>
      </c>
      <c r="J10" s="12">
        <f>1-(30*30*G10 + 100*($B$10*('Measured usage'!$D$10*((1-$D$10)*'Unit prices'!$E$16+$D$10*'Unit prices'!$E$17)+'Measured usage'!$D$11*'Unit prices'!$E$18)/1000000)*$C$10 + 3000*'Unit costs'!$B$9/'Unit costs'!$B$7)/(3999*(1-'Unit prices'!$E$57))</f>
        <v/>
      </c>
      <c r="K10" s="12">
        <f>1-(100*30*G10 + 500*($B$10*('Measured usage'!$D$10*((1-$D$10)*'Unit prices'!$E$16+$D$10*'Unit prices'!$E$17)+'Measured usage'!$D$11*'Unit prices'!$E$18)/1000000)*$C$10 + 12000*'Unit costs'!$B$9/'Unit costs'!$B$7)/(14999*(1-'Unit prices'!$E$57))</f>
        <v/>
      </c>
      <c r="L10" s="12">
        <f>1-(300*30*G10 + 1500*($B$10*('Measured usage'!$D$10*((1-$D$10)*'Unit prices'!$E$16+$D$10*'Unit prices'!$E$17)+'Measured usage'!$D$11*'Unit prices'!$E$18)/1000000)*$C$10 + 32000*'Unit costs'!$B$9/'Unit costs'!$B$7)/(39999*(1-'Unit prices'!$E$57))</f>
        <v/>
      </c>
      <c r="M10" s="12">
        <f>1-H10/(6*(1-'Unit prices'!$E$57))</f>
        <v/>
      </c>
      <c r="N10" s="12">
        <f>1-H10/(5*(1-'Unit prices'!$E$57))</f>
        <v/>
      </c>
      <c r="O10" s="12">
        <f>1-(('Unit prices'!$E$32*$B$10 + 'Measured usage'!$D$31*$B$10*(('Measured usage'!$D$32+'Measured usage'!$D$33*('Measured usage'!$D$38/60)/2)*((1-$D$10)*'Unit prices'!$E$4+$D$10*'Unit prices'!$E$5)+'Measured usage'!$D$34*'Unit prices'!$E$6)/1000000 + ('Unit prices'!$E$34/1000)*$E$10 + $F$10*'Unit prices'!$E$49)*$C$10)/(0.18*$C$10*(1-'Unit prices'!$E$57))</f>
        <v/>
      </c>
      <c r="P10" s="12">
        <f>1-(($B$10*((('Measured usage'!$D$38*('Measured usage'!$D$39+'Measured usage'!$D$40))*'Unit prices'!$E$40)*'Unit prices'!$E$37+((('Measured usage'!$D$38*('Measured usage'!$D$39+'Measured usage'!$D$40))*'Unit prices'!$E$40)*(((ROUND('Measured usage'!$D$38/10,0)+1)/2)-1))*(($D$10)*'Unit prices'!$E$38+(1-$D$10)*'Unit prices'!$E$37)+('Measured usage'!$D$38*'Measured usage'!$D$39*'Unit prices'!$E$41)*'Unit prices'!$E$39)/1000000/('Measured usage'!$D$38/60) + $F$10*'Unit prices'!$E$49)*$C$10)/(0.18*$C$10*(1-'Unit prices'!$E$57))</f>
        <v/>
      </c>
      <c r="Q10">
        <f>MAX('Unit costs'!$B$8,G10*'Unit costs'!$B$7/'Unit costs'!$B$9)</f>
        <v/>
      </c>
    </row>
    <row r="11">
      <c r="A11" t="inlineStr">
        <is>
          <t>Telephony +50%</t>
        </is>
      </c>
      <c r="B11" t="n">
        <v>1</v>
      </c>
      <c r="C11">
        <f>'Unit prices'!$E$2</f>
        <v/>
      </c>
      <c r="D11" s="13">
        <f>'Measured usage'!$D$9</f>
        <v/>
      </c>
      <c r="E11">
        <f>'Measured usage'!$D$35</f>
        <v/>
      </c>
      <c r="F11" t="n">
        <v>1.5</v>
      </c>
      <c r="G11">
        <f>($B$11*(('Measured usage'!$D$2+'Measured usage'!$D$3+'Measured usage'!$D$4)*((1-$D$11)*'Unit prices'!$E$4+$D$11*'Unit prices'!$E$5)+'Measured usage'!$D$6*'Unit prices'!$E$6)/1000000 + 'Measured usage'!$D$8*'Unit prices'!$E$56)*$C$11</f>
        <v/>
      </c>
      <c r="H11">
        <f>(('Unit prices'!$E$29/60)*'Measured usage'!$D$36/$C$11 + 'Measured usage'!$D$31*$B$11*(('Measured usage'!$D$32+'Measured usage'!$D$33*('Measured usage'!$D$38/60)/2)*((1-$D$11)*'Unit prices'!$E$4+$D$11*'Unit prices'!$E$5)+'Measured usage'!$D$34*'Unit prices'!$E$6)/1000000 + ('Unit prices'!$E$30/10000)*$E$11/$C$11 + $F$11*'Unit prices'!$E$47/$C$11)*$C$11</f>
        <v/>
      </c>
      <c r="I11">
        <f>($B$11*((('Measured usage'!$D$38*('Measured usage'!$D$39+'Measured usage'!$D$40))*'Unit prices'!$E$40)*'Unit prices'!$E$37+((('Measured usage'!$D$38*('Measured usage'!$D$39+'Measured usage'!$D$40))*'Unit prices'!$E$40)*(((ROUND('Measured usage'!$D$38/10,0)+1)/2)-1))*(($D$11)*'Unit prices'!$E$38+(1-$D$11)*'Unit prices'!$E$37)+('Measured usage'!$D$38*'Measured usage'!$D$39*'Unit prices'!$E$41)*'Unit prices'!$E$39)/1000000/('Measured usage'!$D$38/60) + $F$11*'Unit prices'!$E$47/$C$11)*$C$11</f>
        <v/>
      </c>
      <c r="J11" s="12">
        <f>1-(30*30*G11 + 100*($B$11*('Measured usage'!$D$10*((1-$D$11)*'Unit prices'!$E$16+$D$11*'Unit prices'!$E$17)+'Measured usage'!$D$11*'Unit prices'!$E$18)/1000000)*$C$11 + 3000*'Unit costs'!$B$9/'Unit costs'!$B$7)/(3999*(1-'Unit prices'!$E$57))</f>
        <v/>
      </c>
      <c r="K11" s="12">
        <f>1-(100*30*G11 + 500*($B$11*('Measured usage'!$D$10*((1-$D$11)*'Unit prices'!$E$16+$D$11*'Unit prices'!$E$17)+'Measured usage'!$D$11*'Unit prices'!$E$18)/1000000)*$C$11 + 12000*'Unit costs'!$B$9/'Unit costs'!$B$7)/(14999*(1-'Unit prices'!$E$57))</f>
        <v/>
      </c>
      <c r="L11" s="12">
        <f>1-(300*30*G11 + 1500*($B$11*('Measured usage'!$D$10*((1-$D$11)*'Unit prices'!$E$16+$D$11*'Unit prices'!$E$17)+'Measured usage'!$D$11*'Unit prices'!$E$18)/1000000)*$C$11 + 32000*'Unit costs'!$B$9/'Unit costs'!$B$7)/(39999*(1-'Unit prices'!$E$57))</f>
        <v/>
      </c>
      <c r="M11" s="12">
        <f>1-H11/(6*(1-'Unit prices'!$E$57))</f>
        <v/>
      </c>
      <c r="N11" s="12">
        <f>1-H11/(5*(1-'Unit prices'!$E$57))</f>
        <v/>
      </c>
      <c r="O11" s="12">
        <f>1-(('Unit prices'!$E$32*$B$11 + 'Measured usage'!$D$31*$B$11*(('Measured usage'!$D$32+'Measured usage'!$D$33*('Measured usage'!$D$38/60)/2)*((1-$D$11)*'Unit prices'!$E$4+$D$11*'Unit prices'!$E$5)+'Measured usage'!$D$34*'Unit prices'!$E$6)/1000000 + ('Unit prices'!$E$34/1000)*$E$11 + $F$11*'Unit prices'!$E$49)*$C$11)/(0.18*$C$11*(1-'Unit prices'!$E$57))</f>
        <v/>
      </c>
      <c r="P11" s="12">
        <f>1-(($B$11*((('Measured usage'!$D$38*('Measured usage'!$D$39+'Measured usage'!$D$40))*'Unit prices'!$E$40)*'Unit prices'!$E$37+((('Measured usage'!$D$38*('Measured usage'!$D$39+'Measured usage'!$D$40))*'Unit prices'!$E$40)*(((ROUND('Measured usage'!$D$38/10,0)+1)/2)-1))*(($D$11)*'Unit prices'!$E$38+(1-$D$11)*'Unit prices'!$E$37)+('Measured usage'!$D$38*'Measured usage'!$D$39*'Unit prices'!$E$41)*'Unit prices'!$E$39)/1000000/('Measured usage'!$D$38/60) + $F$11*'Unit prices'!$E$49)*$C$11)/(0.18*$C$11*(1-'Unit prices'!$E$57))</f>
        <v/>
      </c>
      <c r="Q11">
        <f>MAX('Unit costs'!$B$8,G11*'Unit costs'!$B$7/'Unit costs'!$B$9)</f>
        <v/>
      </c>
    </row>
    <row r="12">
      <c r="A12" t="inlineStr">
        <is>
          <t>All adverse together</t>
        </is>
      </c>
      <c r="B12" t="n">
        <v>1.5</v>
      </c>
      <c r="C12" t="n">
        <v>100</v>
      </c>
      <c r="D12" s="13" t="n">
        <v>0.5</v>
      </c>
      <c r="E12" t="n">
        <v>600</v>
      </c>
      <c r="F12" t="n">
        <v>1.5</v>
      </c>
      <c r="G12">
        <f>($B$12*(('Measured usage'!$D$2+'Measured usage'!$D$3+'Measured usage'!$D$4)*((1-$D$12)*'Unit prices'!$E$4+$D$12*'Unit prices'!$E$5)+'Measured usage'!$D$6*'Unit prices'!$E$6)/1000000 + 'Measured usage'!$D$8*'Unit prices'!$E$56)*$C$12</f>
        <v/>
      </c>
      <c r="H12">
        <f>(('Unit prices'!$E$29/60)*'Measured usage'!$D$36/$C$12 + 'Measured usage'!$D$31*$B$12*(('Measured usage'!$D$32+'Measured usage'!$D$33*('Measured usage'!$D$38/60)/2)*((1-$D$12)*'Unit prices'!$E$4+$D$12*'Unit prices'!$E$5)+'Measured usage'!$D$34*'Unit prices'!$E$6)/1000000 + ('Unit prices'!$E$30/10000)*$E$12/$C$12 + $F$12*'Unit prices'!$E$47/$C$12)*$C$12</f>
        <v/>
      </c>
      <c r="I12">
        <f>($B$12*((('Measured usage'!$D$38*('Measured usage'!$D$39+'Measured usage'!$D$40))*'Unit prices'!$E$40)*'Unit prices'!$E$37+((('Measured usage'!$D$38*('Measured usage'!$D$39+'Measured usage'!$D$40))*'Unit prices'!$E$40)*(((ROUND('Measured usage'!$D$38/10,0)+1)/2)-1))*(($D$12)*'Unit prices'!$E$38+(1-$D$12)*'Unit prices'!$E$37)+('Measured usage'!$D$38*'Measured usage'!$D$39*'Unit prices'!$E$41)*'Unit prices'!$E$39)/1000000/('Measured usage'!$D$38/60) + $F$12*'Unit prices'!$E$47/$C$12)*$C$12</f>
        <v/>
      </c>
      <c r="J12" s="12">
        <f>1-(30*30*G12 + 100*($B$12*('Measured usage'!$D$10*((1-$D$12)*'Unit prices'!$E$16+$D$12*'Unit prices'!$E$17)+'Measured usage'!$D$11*'Unit prices'!$E$18)/1000000)*$C$12 + 3000*'Unit costs'!$B$9/'Unit costs'!$B$7)/(3999*(1-'Unit prices'!$E$57))</f>
        <v/>
      </c>
      <c r="K12" s="12">
        <f>1-(100*30*G12 + 500*($B$12*('Measured usage'!$D$10*((1-$D$12)*'Unit prices'!$E$16+$D$12*'Unit prices'!$E$17)+'Measured usage'!$D$11*'Unit prices'!$E$18)/1000000)*$C$12 + 12000*'Unit costs'!$B$9/'Unit costs'!$B$7)/(14999*(1-'Unit prices'!$E$57))</f>
        <v/>
      </c>
      <c r="L12" s="12">
        <f>1-(300*30*G12 + 1500*($B$12*('Measured usage'!$D$10*((1-$D$12)*'Unit prices'!$E$16+$D$12*'Unit prices'!$E$17)+'Measured usage'!$D$11*'Unit prices'!$E$18)/1000000)*$C$12 + 32000*'Unit costs'!$B$9/'Unit costs'!$B$7)/(39999*(1-'Unit prices'!$E$57))</f>
        <v/>
      </c>
      <c r="M12" s="12">
        <f>1-H12/(6*(1-'Unit prices'!$E$57))</f>
        <v/>
      </c>
      <c r="N12" s="12">
        <f>1-H12/(5*(1-'Unit prices'!$E$57))</f>
        <v/>
      </c>
      <c r="O12" s="12">
        <f>1-(('Unit prices'!$E$32*$B$12 + 'Measured usage'!$D$31*$B$12*(('Measured usage'!$D$32+'Measured usage'!$D$33*('Measured usage'!$D$38/60)/2)*((1-$D$12)*'Unit prices'!$E$4+$D$12*'Unit prices'!$E$5)+'Measured usage'!$D$34*'Unit prices'!$E$6)/1000000 + ('Unit prices'!$E$34/1000)*$E$12 + $F$12*'Unit prices'!$E$49)*$C$12)/(0.18*$C$12*(1-'Unit prices'!$E$57))</f>
        <v/>
      </c>
      <c r="P12" s="12">
        <f>1-(($B$12*((('Measured usage'!$D$38*('Measured usage'!$D$39+'Measured usage'!$D$40))*'Unit prices'!$E$40)*'Unit prices'!$E$37+((('Measured usage'!$D$38*('Measured usage'!$D$39+'Measured usage'!$D$40))*'Unit prices'!$E$40)*(((ROUND('Measured usage'!$D$38/10,0)+1)/2)-1))*(($D$12)*'Unit prices'!$E$38+(1-$D$12)*'Unit prices'!$E$37)+('Measured usage'!$D$38*'Measured usage'!$D$39*'Unit prices'!$E$41)*'Unit prices'!$E$39)/1000000/('Measured usage'!$D$38/60) + $F$12*'Unit prices'!$E$49)*$C$12)/(0.18*$C$12*(1-'Unit prices'!$E$57))</f>
        <v/>
      </c>
      <c r="Q12">
        <f>MAX('Unit costs'!$B$8,G12*'Unit costs'!$B$7/'Unit costs'!$B$9)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2026-09-29T20:20:05Z</dcterms:created>
  <dcterms:modified xmlns:dcterms="http://purl.org/dc/terms/" xmlns:xsi="http://www.w3.org/2001/XMLSchema-instance" xsi:type="dcterms:W3CDTF">2026-09-29T20:20:05Z</dcterms:modified>
</cp:coreProperties>
</file>